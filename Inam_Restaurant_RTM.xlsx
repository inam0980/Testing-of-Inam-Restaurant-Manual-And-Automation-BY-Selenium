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'RTM'!$A$3:$I$45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</font>
    <font>
      <b val="1"/>
      <color rgb="00FFFFFF"/>
      <sz val="11"/>
    </font>
    <font>
      <b val="1"/>
      <color rgb="00C00000"/>
    </font>
    <font>
      <b val="1"/>
      <color rgb="00FFFFFF"/>
    </font>
    <font>
      <b val="1"/>
      <color rgb="00BF8F00"/>
    </font>
    <font>
      <b val="1"/>
      <color rgb="00548235"/>
    </font>
    <font>
      <color rgb="0059595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8" customWidth="1" min="9" max="9"/>
  </cols>
  <sheetData>
    <row r="1" ht="30" customHeight="1">
      <c r="A1" s="1" t="inlineStr">
        <is>
          <t>Requirement Traceability Matrix (RTM) — Inam Restaurant Website</t>
        </is>
      </c>
    </row>
    <row r="2" ht="22" customHeight="1">
      <c r="A2" s="2" t="inlineStr">
        <is>
          <t>Project: Inam Restaurant Website   |   Prepared By: Inam Khan (12303473)   |   URL: https://inam0980.pythonanywhere.com/   |   Date: 21/05/2026</t>
        </is>
      </c>
    </row>
    <row r="3" ht="30" customHeight="1">
      <c r="A3" s="3" t="inlineStr">
        <is>
          <t>Requirement ID</t>
        </is>
      </c>
      <c r="B3" s="3" t="inlineStr">
        <is>
          <t>Module</t>
        </is>
      </c>
      <c r="C3" s="3" t="inlineStr">
        <is>
          <t>Requirement Description</t>
        </is>
      </c>
      <c r="D3" s="3" t="inlineStr">
        <is>
          <t>Priority</t>
        </is>
      </c>
      <c r="E3" s="3" t="inlineStr">
        <is>
          <t>Test Case ID(s)</t>
        </is>
      </c>
      <c r="F3" s="3" t="inlineStr">
        <is>
          <t>Test Type</t>
        </is>
      </c>
      <c r="G3" s="3" t="inlineStr">
        <is>
          <t>Execution Status</t>
        </is>
      </c>
      <c r="H3" s="3" t="inlineStr">
        <is>
          <t>Defect ID</t>
        </is>
      </c>
      <c r="I3" s="3" t="inlineStr">
        <is>
          <t>Execution Method</t>
        </is>
      </c>
    </row>
    <row r="4" ht="36" customHeight="1">
      <c r="A4" s="4" t="inlineStr">
        <is>
          <t>REQ-001</t>
        </is>
      </c>
      <c r="B4" s="4" t="inlineStr">
        <is>
          <t>Home Page</t>
        </is>
      </c>
      <c r="C4" s="5" t="inlineStr">
        <is>
          <t>System shall load the home page within acceptable time and display banner, menu and footer.</t>
        </is>
      </c>
      <c r="D4" s="6" t="inlineStr">
        <is>
          <t>High</t>
        </is>
      </c>
      <c r="E4" s="4" t="inlineStr">
        <is>
          <t>FUN-001</t>
        </is>
      </c>
      <c r="F4" s="4" t="inlineStr">
        <is>
          <t>Functional</t>
        </is>
      </c>
      <c r="G4" s="7" t="inlineStr">
        <is>
          <t>Pass</t>
        </is>
      </c>
      <c r="H4" s="4" t="inlineStr">
        <is>
          <t>-</t>
        </is>
      </c>
      <c r="I4" s="13" t="inlineStr">
        <is>
          <t>Manual</t>
        </is>
      </c>
    </row>
    <row r="5" ht="36" customHeight="1">
      <c r="A5" s="4" t="inlineStr">
        <is>
          <t>REQ-002</t>
        </is>
      </c>
      <c r="B5" s="4" t="inlineStr">
        <is>
          <t>Home Page</t>
        </is>
      </c>
      <c r="C5" s="5" t="inlineStr">
        <is>
          <t>Banner carousel shall auto-slide between images.</t>
        </is>
      </c>
      <c r="D5" s="8" t="inlineStr">
        <is>
          <t>Medium</t>
        </is>
      </c>
      <c r="E5" s="4" t="inlineStr">
        <is>
          <t>FUN-002</t>
        </is>
      </c>
      <c r="F5" s="4" t="inlineStr">
        <is>
          <t>Functional</t>
        </is>
      </c>
      <c r="G5" s="7" t="inlineStr">
        <is>
          <t>Pass</t>
        </is>
      </c>
      <c r="H5" s="4" t="inlineStr">
        <is>
          <t>-</t>
        </is>
      </c>
      <c r="I5" s="13" t="inlineStr">
        <is>
          <t>Manual</t>
        </is>
      </c>
    </row>
    <row r="6" ht="36" customHeight="1">
      <c r="A6" s="4" t="inlineStr">
        <is>
          <t>REQ-003</t>
        </is>
      </c>
      <c r="B6" s="4" t="inlineStr">
        <is>
          <t>Navigation</t>
        </is>
      </c>
      <c r="C6" s="5" t="inlineStr">
        <is>
          <t>All navigation menu links (Home, Menu, Gallery, Contact, Login) shall work without errors.</t>
        </is>
      </c>
      <c r="D6" s="6" t="inlineStr">
        <is>
          <t>High</t>
        </is>
      </c>
      <c r="E6" s="4" t="inlineStr">
        <is>
          <t>FUN-003</t>
        </is>
      </c>
      <c r="F6" s="4" t="inlineStr">
        <is>
          <t>Functional</t>
        </is>
      </c>
      <c r="G6" s="7" t="inlineStr">
        <is>
          <t>Pass</t>
        </is>
      </c>
      <c r="H6" s="4" t="inlineStr">
        <is>
          <t>-</t>
        </is>
      </c>
      <c r="I6" s="13" t="inlineStr">
        <is>
          <t>Manual</t>
        </is>
      </c>
    </row>
    <row r="7" ht="36" customHeight="1">
      <c r="A7" s="4" t="inlineStr">
        <is>
          <t>REQ-004</t>
        </is>
      </c>
      <c r="B7" s="4" t="inlineStr">
        <is>
          <t>Menu / Biryani</t>
        </is>
      </c>
      <c r="C7" s="5" t="inlineStr">
        <is>
          <t>User shall be able to view items under Biryani category.</t>
        </is>
      </c>
      <c r="D7" s="6" t="inlineStr">
        <is>
          <t>High</t>
        </is>
      </c>
      <c r="E7" s="4" t="inlineStr">
        <is>
          <t>FUN-004</t>
        </is>
      </c>
      <c r="F7" s="4" t="inlineStr">
        <is>
          <t>Functional</t>
        </is>
      </c>
      <c r="G7" s="7" t="inlineStr">
        <is>
          <t>Pass</t>
        </is>
      </c>
      <c r="H7" s="4" t="inlineStr">
        <is>
          <t>-</t>
        </is>
      </c>
      <c r="I7" s="13" t="inlineStr">
        <is>
          <t>Manual</t>
        </is>
      </c>
    </row>
    <row r="8" ht="36" customHeight="1">
      <c r="A8" s="4" t="inlineStr">
        <is>
          <t>REQ-005</t>
        </is>
      </c>
      <c r="B8" s="4" t="inlineStr">
        <is>
          <t>Menu / Pizza</t>
        </is>
      </c>
      <c r="C8" s="5" t="inlineStr">
        <is>
          <t>User shall be able to view items under Pizza category.</t>
        </is>
      </c>
      <c r="D8" s="6" t="inlineStr">
        <is>
          <t>High</t>
        </is>
      </c>
      <c r="E8" s="4" t="inlineStr">
        <is>
          <t>FUN-005</t>
        </is>
      </c>
      <c r="F8" s="4" t="inlineStr">
        <is>
          <t>Functional</t>
        </is>
      </c>
      <c r="G8" s="7" t="inlineStr">
        <is>
          <t>Pass</t>
        </is>
      </c>
      <c r="H8" s="4" t="inlineStr">
        <is>
          <t>-</t>
        </is>
      </c>
      <c r="I8" s="13" t="inlineStr">
        <is>
          <t>Manual</t>
        </is>
      </c>
    </row>
    <row r="9" ht="36" customHeight="1">
      <c r="A9" s="4" t="inlineStr">
        <is>
          <t>REQ-006</t>
        </is>
      </c>
      <c r="B9" s="4" t="inlineStr">
        <is>
          <t>Menu / Burgers</t>
        </is>
      </c>
      <c r="C9" s="5" t="inlineStr">
        <is>
          <t>User shall be able to view items under Burgers category.</t>
        </is>
      </c>
      <c r="D9" s="6" t="inlineStr">
        <is>
          <t>High</t>
        </is>
      </c>
      <c r="E9" s="4" t="inlineStr">
        <is>
          <t>FUN-006</t>
        </is>
      </c>
      <c r="F9" s="4" t="inlineStr">
        <is>
          <t>Functional</t>
        </is>
      </c>
      <c r="G9" s="7" t="inlineStr">
        <is>
          <t>Pass</t>
        </is>
      </c>
      <c r="H9" s="4" t="inlineStr">
        <is>
          <t>-</t>
        </is>
      </c>
      <c r="I9" s="13" t="inlineStr">
        <is>
          <t>Manual</t>
        </is>
      </c>
    </row>
    <row r="10" ht="36" customHeight="1">
      <c r="A10" s="4" t="inlineStr">
        <is>
          <t>REQ-007</t>
        </is>
      </c>
      <c r="B10" s="4" t="inlineStr">
        <is>
          <t>Menu / Snacks</t>
        </is>
      </c>
      <c r="C10" s="5" t="inlineStr">
        <is>
          <t>User shall be able to view items under Snacks category.</t>
        </is>
      </c>
      <c r="D10" s="8" t="inlineStr">
        <is>
          <t>Medium</t>
        </is>
      </c>
      <c r="E10" s="4" t="inlineStr">
        <is>
          <t>FUN-007</t>
        </is>
      </c>
      <c r="F10" s="4" t="inlineStr">
        <is>
          <t>Functional</t>
        </is>
      </c>
      <c r="G10" s="7" t="inlineStr">
        <is>
          <t>Pass</t>
        </is>
      </c>
      <c r="H10" s="4" t="inlineStr">
        <is>
          <t>-</t>
        </is>
      </c>
      <c r="I10" s="13" t="inlineStr">
        <is>
          <t>Manual</t>
        </is>
      </c>
    </row>
    <row r="11" ht="36" customHeight="1">
      <c r="A11" s="4" t="inlineStr">
        <is>
          <t>REQ-008</t>
        </is>
      </c>
      <c r="B11" s="4" t="inlineStr">
        <is>
          <t>Menu / Desserts</t>
        </is>
      </c>
      <c r="C11" s="5" t="inlineStr">
        <is>
          <t>User shall be able to view items under Desserts category.</t>
        </is>
      </c>
      <c r="D11" s="8" t="inlineStr">
        <is>
          <t>Medium</t>
        </is>
      </c>
      <c r="E11" s="4" t="inlineStr">
        <is>
          <t>FUN-008</t>
        </is>
      </c>
      <c r="F11" s="4" t="inlineStr">
        <is>
          <t>Functional</t>
        </is>
      </c>
      <c r="G11" s="7" t="inlineStr">
        <is>
          <t>Pass</t>
        </is>
      </c>
      <c r="H11" s="4" t="inlineStr">
        <is>
          <t>-</t>
        </is>
      </c>
      <c r="I11" s="13" t="inlineStr">
        <is>
          <t>Manual</t>
        </is>
      </c>
    </row>
    <row r="12" ht="36" customHeight="1">
      <c r="A12" s="4" t="inlineStr">
        <is>
          <t>REQ-009</t>
        </is>
      </c>
      <c r="B12" s="4" t="inlineStr">
        <is>
          <t>Menu / Drinks</t>
        </is>
      </c>
      <c r="C12" s="5" t="inlineStr">
        <is>
          <t>User shall be able to view items under Drinks category.</t>
        </is>
      </c>
      <c r="D12" s="8" t="inlineStr">
        <is>
          <t>Medium</t>
        </is>
      </c>
      <c r="E12" s="4" t="inlineStr">
        <is>
          <t>FUN-009</t>
        </is>
      </c>
      <c r="F12" s="4" t="inlineStr">
        <is>
          <t>Functional</t>
        </is>
      </c>
      <c r="G12" s="7" t="inlineStr">
        <is>
          <t>Pass</t>
        </is>
      </c>
      <c r="H12" s="4" t="inlineStr">
        <is>
          <t>-</t>
        </is>
      </c>
      <c r="I12" s="13" t="inlineStr">
        <is>
          <t>Manual</t>
        </is>
      </c>
    </row>
    <row r="13" ht="36" customHeight="1">
      <c r="A13" s="4" t="inlineStr">
        <is>
          <t>REQ-010</t>
        </is>
      </c>
      <c r="B13" s="4" t="inlineStr">
        <is>
          <t>Authentication</t>
        </is>
      </c>
      <c r="C13" s="5" t="inlineStr">
        <is>
          <t>Registered user shall be able to login using valid credentials.</t>
        </is>
      </c>
      <c r="D13" s="6" t="inlineStr">
        <is>
          <t>High</t>
        </is>
      </c>
      <c r="E13" s="4" t="inlineStr">
        <is>
          <t>FUN-010</t>
        </is>
      </c>
      <c r="F13" s="4" t="inlineStr">
        <is>
          <t>Functional</t>
        </is>
      </c>
      <c r="G13" s="7" t="inlineStr">
        <is>
          <t>Pass</t>
        </is>
      </c>
      <c r="H13" s="4" t="inlineStr">
        <is>
          <t>-</t>
        </is>
      </c>
      <c r="I13" s="11" t="inlineStr">
        <is>
          <t>Automated</t>
        </is>
      </c>
    </row>
    <row r="14" ht="36" customHeight="1">
      <c r="A14" s="4" t="inlineStr">
        <is>
          <t>REQ-011</t>
        </is>
      </c>
      <c r="B14" s="4" t="inlineStr">
        <is>
          <t>Authentication</t>
        </is>
      </c>
      <c r="C14" s="5" t="inlineStr">
        <is>
          <t>System shall reject login with invalid password and display error message.</t>
        </is>
      </c>
      <c r="D14" s="6" t="inlineStr">
        <is>
          <t>High</t>
        </is>
      </c>
      <c r="E14" s="4" t="inlineStr">
        <is>
          <t>FUN-011</t>
        </is>
      </c>
      <c r="F14" s="4" t="inlineStr">
        <is>
          <t>Functional</t>
        </is>
      </c>
      <c r="G14" s="7" t="inlineStr">
        <is>
          <t>Pass</t>
        </is>
      </c>
      <c r="H14" s="4" t="inlineStr">
        <is>
          <t>-</t>
        </is>
      </c>
      <c r="I14" s="11" t="inlineStr">
        <is>
          <t>Automated</t>
        </is>
      </c>
    </row>
    <row r="15" ht="36" customHeight="1">
      <c r="A15" s="4" t="inlineStr">
        <is>
          <t>REQ-012</t>
        </is>
      </c>
      <c r="B15" s="4" t="inlineStr">
        <is>
          <t>Authentication</t>
        </is>
      </c>
      <c r="C15" s="5" t="inlineStr">
        <is>
          <t>System shall validate empty username/password fields before submit.</t>
        </is>
      </c>
      <c r="D15" s="8" t="inlineStr">
        <is>
          <t>Medium</t>
        </is>
      </c>
      <c r="E15" s="4" t="inlineStr">
        <is>
          <t>FUN-012</t>
        </is>
      </c>
      <c r="F15" s="4" t="inlineStr">
        <is>
          <t>Functional</t>
        </is>
      </c>
      <c r="G15" s="7" t="inlineStr">
        <is>
          <t>Pass</t>
        </is>
      </c>
      <c r="H15" s="4" t="inlineStr">
        <is>
          <t>-</t>
        </is>
      </c>
      <c r="I15" s="11" t="inlineStr">
        <is>
          <t>Automated</t>
        </is>
      </c>
    </row>
    <row r="16" ht="36" customHeight="1">
      <c r="A16" s="4" t="inlineStr">
        <is>
          <t>REQ-013</t>
        </is>
      </c>
      <c r="B16" s="4" t="inlineStr">
        <is>
          <t>Authentication</t>
        </is>
      </c>
      <c r="C16" s="5" t="inlineStr">
        <is>
          <t>System shall reject login for non-existing user.</t>
        </is>
      </c>
      <c r="D16" s="8" t="inlineStr">
        <is>
          <t>Medium</t>
        </is>
      </c>
      <c r="E16" s="4" t="inlineStr">
        <is>
          <t>FUN-013</t>
        </is>
      </c>
      <c r="F16" s="4" t="inlineStr">
        <is>
          <t>Functional</t>
        </is>
      </c>
      <c r="G16" s="7" t="inlineStr">
        <is>
          <t>Pass</t>
        </is>
      </c>
      <c r="H16" s="4" t="inlineStr">
        <is>
          <t>-</t>
        </is>
      </c>
      <c r="I16" s="11" t="inlineStr">
        <is>
          <t>Automated</t>
        </is>
      </c>
    </row>
    <row r="17" ht="36" customHeight="1">
      <c r="A17" s="4" t="inlineStr">
        <is>
          <t>REQ-014</t>
        </is>
      </c>
      <c r="B17" s="4" t="inlineStr">
        <is>
          <t>Authentication</t>
        </is>
      </c>
      <c r="C17" s="5" t="inlineStr">
        <is>
          <t>User shall be able to logout and end the active session.</t>
        </is>
      </c>
      <c r="D17" s="6" t="inlineStr">
        <is>
          <t>High</t>
        </is>
      </c>
      <c r="E17" s="4" t="inlineStr">
        <is>
          <t>FUN-014</t>
        </is>
      </c>
      <c r="F17" s="4" t="inlineStr">
        <is>
          <t>Functional</t>
        </is>
      </c>
      <c r="G17" s="7" t="inlineStr">
        <is>
          <t>Pass</t>
        </is>
      </c>
      <c r="H17" s="4" t="inlineStr">
        <is>
          <t>-</t>
        </is>
      </c>
      <c r="I17" s="11" t="inlineStr">
        <is>
          <t>Automated</t>
        </is>
      </c>
    </row>
    <row r="18" ht="36" customHeight="1">
      <c r="A18" s="4" t="inlineStr">
        <is>
          <t>REQ-015</t>
        </is>
      </c>
      <c r="B18" s="4" t="inlineStr">
        <is>
          <t>Contact</t>
        </is>
      </c>
      <c r="C18" s="5" t="inlineStr">
        <is>
          <t>Contact page shall load and display contact information.</t>
        </is>
      </c>
      <c r="D18" s="8" t="inlineStr">
        <is>
          <t>Medium</t>
        </is>
      </c>
      <c r="E18" s="4" t="inlineStr">
        <is>
          <t>FUN-015</t>
        </is>
      </c>
      <c r="F18" s="4" t="inlineStr">
        <is>
          <t>Functional</t>
        </is>
      </c>
      <c r="G18" s="7" t="inlineStr">
        <is>
          <t>Pass</t>
        </is>
      </c>
      <c r="H18" s="4" t="inlineStr">
        <is>
          <t>-</t>
        </is>
      </c>
      <c r="I18" s="13" t="inlineStr">
        <is>
          <t>Manual</t>
        </is>
      </c>
    </row>
    <row r="19" ht="36" customHeight="1">
      <c r="A19" s="4" t="inlineStr">
        <is>
          <t>REQ-016</t>
        </is>
      </c>
      <c r="B19" s="4" t="inlineStr">
        <is>
          <t>Contact</t>
        </is>
      </c>
      <c r="C19" s="5" t="inlineStr">
        <is>
          <t>Contact form (if present) shall submit user message successfully.</t>
        </is>
      </c>
      <c r="D19" s="8" t="inlineStr">
        <is>
          <t>Medium</t>
        </is>
      </c>
      <c r="E19" s="4" t="inlineStr">
        <is>
          <t>FUN-016</t>
        </is>
      </c>
      <c r="F19" s="4" t="inlineStr">
        <is>
          <t>Functional</t>
        </is>
      </c>
      <c r="G19" s="7" t="inlineStr">
        <is>
          <t>Pass</t>
        </is>
      </c>
      <c r="H19" s="4" t="inlineStr">
        <is>
          <t>-</t>
        </is>
      </c>
      <c r="I19" s="13" t="inlineStr">
        <is>
          <t>Manual</t>
        </is>
      </c>
    </row>
    <row r="20" ht="36" customHeight="1">
      <c r="A20" s="4" t="inlineStr">
        <is>
          <t>REQ-017</t>
        </is>
      </c>
      <c r="B20" s="4" t="inlineStr">
        <is>
          <t>Gallery</t>
        </is>
      </c>
      <c r="C20" s="5" t="inlineStr">
        <is>
          <t>Gallery page shall load all images without broken icons.</t>
        </is>
      </c>
      <c r="D20" s="8" t="inlineStr">
        <is>
          <t>Medium</t>
        </is>
      </c>
      <c r="E20" s="4" t="inlineStr">
        <is>
          <t>FUN-017</t>
        </is>
      </c>
      <c r="F20" s="4" t="inlineStr">
        <is>
          <t>Functional</t>
        </is>
      </c>
      <c r="G20" s="7" t="inlineStr">
        <is>
          <t>Pass</t>
        </is>
      </c>
      <c r="H20" s="4" t="inlineStr">
        <is>
          <t>-</t>
        </is>
      </c>
      <c r="I20" s="13" t="inlineStr">
        <is>
          <t>Manual</t>
        </is>
      </c>
    </row>
    <row r="21" ht="36" customHeight="1">
      <c r="A21" s="4" t="inlineStr">
        <is>
          <t>REQ-018</t>
        </is>
      </c>
      <c r="B21" s="4" t="inlineStr">
        <is>
          <t>Footer</t>
        </is>
      </c>
      <c r="C21" s="5" t="inlineStr">
        <is>
          <t>Social media links shall navigate to correct external profiles in a new tab.</t>
        </is>
      </c>
      <c r="D21" s="9" t="inlineStr">
        <is>
          <t>Low</t>
        </is>
      </c>
      <c r="E21" s="4" t="inlineStr">
        <is>
          <t>FUN-018</t>
        </is>
      </c>
      <c r="F21" s="4" t="inlineStr">
        <is>
          <t>Functional</t>
        </is>
      </c>
      <c r="G21" s="10" t="inlineStr">
        <is>
          <t>Fail</t>
        </is>
      </c>
      <c r="H21" s="6" t="inlineStr">
        <is>
          <t>BUG-001</t>
        </is>
      </c>
      <c r="I21" s="13" t="inlineStr">
        <is>
          <t>Manual</t>
        </is>
      </c>
    </row>
    <row r="22" ht="36" customHeight="1">
      <c r="A22" s="4" t="inlineStr">
        <is>
          <t>REQ-019</t>
        </is>
      </c>
      <c r="B22" s="4" t="inlineStr">
        <is>
          <t>UI - Responsive</t>
        </is>
      </c>
      <c r="C22" s="5" t="inlineStr">
        <is>
          <t>Application shall be fully responsive on mobile devices.</t>
        </is>
      </c>
      <c r="D22" s="6" t="inlineStr">
        <is>
          <t>High</t>
        </is>
      </c>
      <c r="E22" s="4" t="inlineStr">
        <is>
          <t>UIX-001</t>
        </is>
      </c>
      <c r="F22" s="4" t="inlineStr">
        <is>
          <t>UI/UX</t>
        </is>
      </c>
      <c r="G22" s="7" t="inlineStr">
        <is>
          <t>Pass</t>
        </is>
      </c>
      <c r="H22" s="4" t="inlineStr">
        <is>
          <t>-</t>
        </is>
      </c>
      <c r="I22" s="13" t="inlineStr">
        <is>
          <t>Manual</t>
        </is>
      </c>
    </row>
    <row r="23" ht="36" customHeight="1">
      <c r="A23" s="4" t="inlineStr">
        <is>
          <t>REQ-020</t>
        </is>
      </c>
      <c r="B23" s="4" t="inlineStr">
        <is>
          <t>UI - Responsive</t>
        </is>
      </c>
      <c r="C23" s="5" t="inlineStr">
        <is>
          <t>Application shall be fully responsive on tablet devices.</t>
        </is>
      </c>
      <c r="D23" s="8" t="inlineStr">
        <is>
          <t>Medium</t>
        </is>
      </c>
      <c r="E23" s="4" t="inlineStr">
        <is>
          <t>UIX-002</t>
        </is>
      </c>
      <c r="F23" s="4" t="inlineStr">
        <is>
          <t>UI/UX</t>
        </is>
      </c>
      <c r="G23" s="7" t="inlineStr">
        <is>
          <t>Pass</t>
        </is>
      </c>
      <c r="H23" s="4" t="inlineStr">
        <is>
          <t>-</t>
        </is>
      </c>
      <c r="I23" s="13" t="inlineStr">
        <is>
          <t>Manual</t>
        </is>
      </c>
    </row>
    <row r="24" ht="36" customHeight="1">
      <c r="A24" s="4" t="inlineStr">
        <is>
          <t>REQ-021</t>
        </is>
      </c>
      <c r="B24" s="4" t="inlineStr">
        <is>
          <t>UI - Compatibility</t>
        </is>
      </c>
      <c r="C24" s="5" t="inlineStr">
        <is>
          <t>Application shall render correctly on Chrome.</t>
        </is>
      </c>
      <c r="D24" s="6" t="inlineStr">
        <is>
          <t>High</t>
        </is>
      </c>
      <c r="E24" s="4" t="inlineStr">
        <is>
          <t>UIX-003</t>
        </is>
      </c>
      <c r="F24" s="4" t="inlineStr">
        <is>
          <t>UI/UX</t>
        </is>
      </c>
      <c r="G24" s="7" t="inlineStr">
        <is>
          <t>Pass</t>
        </is>
      </c>
      <c r="H24" s="4" t="inlineStr">
        <is>
          <t>-</t>
        </is>
      </c>
      <c r="I24" s="13" t="inlineStr">
        <is>
          <t>Manual</t>
        </is>
      </c>
    </row>
    <row r="25" ht="36" customHeight="1">
      <c r="A25" s="4" t="inlineStr">
        <is>
          <t>REQ-022</t>
        </is>
      </c>
      <c r="B25" s="4" t="inlineStr">
        <is>
          <t>UI - Compatibility</t>
        </is>
      </c>
      <c r="C25" s="5" t="inlineStr">
        <is>
          <t>Application shall render correctly on Firefox.</t>
        </is>
      </c>
      <c r="D25" s="8" t="inlineStr">
        <is>
          <t>Medium</t>
        </is>
      </c>
      <c r="E25" s="4" t="inlineStr">
        <is>
          <t>UIX-004</t>
        </is>
      </c>
      <c r="F25" s="4" t="inlineStr">
        <is>
          <t>UI/UX</t>
        </is>
      </c>
      <c r="G25" s="7" t="inlineStr">
        <is>
          <t>Pass</t>
        </is>
      </c>
      <c r="H25" s="4" t="inlineStr">
        <is>
          <t>-</t>
        </is>
      </c>
      <c r="I25" s="13" t="inlineStr">
        <is>
          <t>Manual</t>
        </is>
      </c>
    </row>
    <row r="26" ht="36" customHeight="1">
      <c r="A26" s="4" t="inlineStr">
        <is>
          <t>REQ-023</t>
        </is>
      </c>
      <c r="B26" s="4" t="inlineStr">
        <is>
          <t>UI - Compatibility</t>
        </is>
      </c>
      <c r="C26" s="5" t="inlineStr">
        <is>
          <t>Application shall render correctly on Microsoft Edge.</t>
        </is>
      </c>
      <c r="D26" s="8" t="inlineStr">
        <is>
          <t>Medium</t>
        </is>
      </c>
      <c r="E26" s="4" t="inlineStr">
        <is>
          <t>UIX-005</t>
        </is>
      </c>
      <c r="F26" s="4" t="inlineStr">
        <is>
          <t>UI/UX</t>
        </is>
      </c>
      <c r="G26" s="7" t="inlineStr">
        <is>
          <t>Pass</t>
        </is>
      </c>
      <c r="H26" s="4" t="inlineStr">
        <is>
          <t>-</t>
        </is>
      </c>
      <c r="I26" s="13" t="inlineStr">
        <is>
          <t>Manual</t>
        </is>
      </c>
    </row>
    <row r="27" ht="36" customHeight="1">
      <c r="A27" s="4" t="inlineStr">
        <is>
          <t>REQ-024</t>
        </is>
      </c>
      <c r="B27" s="4" t="inlineStr">
        <is>
          <t>UI - Content</t>
        </is>
      </c>
      <c r="C27" s="5" t="inlineStr">
        <is>
          <t>Category titles shall be short and descriptive (not full paragraphs).</t>
        </is>
      </c>
      <c r="D27" s="8" t="inlineStr">
        <is>
          <t>Medium</t>
        </is>
      </c>
      <c r="E27" s="4" t="inlineStr">
        <is>
          <t>UIX-006</t>
        </is>
      </c>
      <c r="F27" s="4" t="inlineStr">
        <is>
          <t>UI/UX</t>
        </is>
      </c>
      <c r="G27" s="7" t="inlineStr">
        <is>
          <t>Pass</t>
        </is>
      </c>
      <c r="H27" s="4" t="inlineStr">
        <is>
          <t>-</t>
        </is>
      </c>
      <c r="I27" s="13" t="inlineStr">
        <is>
          <t>Manual</t>
        </is>
      </c>
    </row>
    <row r="28" ht="36" customHeight="1">
      <c r="A28" s="4" t="inlineStr">
        <is>
          <t>REQ-025</t>
        </is>
      </c>
      <c r="B28" s="4" t="inlineStr">
        <is>
          <t>UI - Content</t>
        </is>
      </c>
      <c r="C28" s="5" t="inlineStr">
        <is>
          <t>Site text shall be free of spelling and grammar errors.</t>
        </is>
      </c>
      <c r="D28" s="9" t="inlineStr">
        <is>
          <t>Low</t>
        </is>
      </c>
      <c r="E28" s="4" t="inlineStr">
        <is>
          <t>UIX-007</t>
        </is>
      </c>
      <c r="F28" s="4" t="inlineStr">
        <is>
          <t>UI/UX</t>
        </is>
      </c>
      <c r="G28" s="7" t="inlineStr">
        <is>
          <t>Pass</t>
        </is>
      </c>
      <c r="H28" s="4" t="inlineStr">
        <is>
          <t>-</t>
        </is>
      </c>
      <c r="I28" s="13" t="inlineStr">
        <is>
          <t>Manual</t>
        </is>
      </c>
    </row>
    <row r="29" ht="36" customHeight="1">
      <c r="A29" s="4" t="inlineStr">
        <is>
          <t>REQ-026</t>
        </is>
      </c>
      <c r="B29" s="4" t="inlineStr">
        <is>
          <t>UI - Images</t>
        </is>
      </c>
      <c r="C29" s="5" t="inlineStr">
        <is>
          <t>All images shall load successfully (no 404 errors).</t>
        </is>
      </c>
      <c r="D29" s="6" t="inlineStr">
        <is>
          <t>High</t>
        </is>
      </c>
      <c r="E29" s="4" t="inlineStr">
        <is>
          <t>UIX-008</t>
        </is>
      </c>
      <c r="F29" s="4" t="inlineStr">
        <is>
          <t>UI/UX</t>
        </is>
      </c>
      <c r="G29" s="7" t="inlineStr">
        <is>
          <t>Pass</t>
        </is>
      </c>
      <c r="H29" s="4" t="inlineStr">
        <is>
          <t>-</t>
        </is>
      </c>
      <c r="I29" s="13" t="inlineStr">
        <is>
          <t>Manual</t>
        </is>
      </c>
    </row>
    <row r="30" ht="36" customHeight="1">
      <c r="A30" s="4" t="inlineStr">
        <is>
          <t>REQ-027</t>
        </is>
      </c>
      <c r="B30" s="4" t="inlineStr">
        <is>
          <t>UI - Console</t>
        </is>
      </c>
      <c r="C30" s="5" t="inlineStr">
        <is>
          <t>No JavaScript errors shall appear in the browser console.</t>
        </is>
      </c>
      <c r="D30" s="6" t="inlineStr">
        <is>
          <t>High</t>
        </is>
      </c>
      <c r="E30" s="4" t="inlineStr">
        <is>
          <t>UIX-009</t>
        </is>
      </c>
      <c r="F30" s="4" t="inlineStr">
        <is>
          <t>UI/UX</t>
        </is>
      </c>
      <c r="G30" s="7" t="inlineStr">
        <is>
          <t>Pass</t>
        </is>
      </c>
      <c r="H30" s="4" t="inlineStr">
        <is>
          <t>-</t>
        </is>
      </c>
      <c r="I30" s="13" t="inlineStr">
        <is>
          <t>Manual</t>
        </is>
      </c>
    </row>
    <row r="31" ht="36" customHeight="1">
      <c r="A31" s="4" t="inlineStr">
        <is>
          <t>REQ-028</t>
        </is>
      </c>
      <c r="B31" s="4" t="inlineStr">
        <is>
          <t>Performance</t>
        </is>
      </c>
      <c r="C31" s="5" t="inlineStr">
        <is>
          <t>Lighthouse Performance score shall be 70 or above (target 90).</t>
        </is>
      </c>
      <c r="D31" s="6" t="inlineStr">
        <is>
          <t>High</t>
        </is>
      </c>
      <c r="E31" s="4" t="inlineStr">
        <is>
          <t>PER-001</t>
        </is>
      </c>
      <c r="F31" s="4" t="inlineStr">
        <is>
          <t>Performance</t>
        </is>
      </c>
      <c r="G31" s="10" t="inlineStr">
        <is>
          <t>Fail</t>
        </is>
      </c>
      <c r="H31" s="6" t="inlineStr">
        <is>
          <t>BUG-002</t>
        </is>
      </c>
      <c r="I31" s="13" t="inlineStr">
        <is>
          <t>Manual</t>
        </is>
      </c>
    </row>
    <row r="32" ht="36" customHeight="1">
      <c r="A32" s="4" t="inlineStr">
        <is>
          <t>REQ-029</t>
        </is>
      </c>
      <c r="B32" s="4" t="inlineStr">
        <is>
          <t>Performance</t>
        </is>
      </c>
      <c r="C32" s="5" t="inlineStr">
        <is>
          <t>Lighthouse Accessibility score shall be 80 or above.</t>
        </is>
      </c>
      <c r="D32" s="8" t="inlineStr">
        <is>
          <t>Medium</t>
        </is>
      </c>
      <c r="E32" s="4" t="inlineStr">
        <is>
          <t>PER-002</t>
        </is>
      </c>
      <c r="F32" s="4" t="inlineStr">
        <is>
          <t>Performance</t>
        </is>
      </c>
      <c r="G32" s="7" t="inlineStr">
        <is>
          <t>Pass</t>
        </is>
      </c>
      <c r="H32" s="4" t="inlineStr">
        <is>
          <t>-</t>
        </is>
      </c>
      <c r="I32" s="13" t="inlineStr">
        <is>
          <t>Manual</t>
        </is>
      </c>
    </row>
    <row r="33" ht="36" customHeight="1">
      <c r="A33" s="4" t="inlineStr">
        <is>
          <t>REQ-030</t>
        </is>
      </c>
      <c r="B33" s="4" t="inlineStr">
        <is>
          <t>Performance</t>
        </is>
      </c>
      <c r="C33" s="5" t="inlineStr">
        <is>
          <t>Lighthouse SEO score shall be 80 or above; meta tags shall be present.</t>
        </is>
      </c>
      <c r="D33" s="8" t="inlineStr">
        <is>
          <t>Medium</t>
        </is>
      </c>
      <c r="E33" s="4" t="inlineStr">
        <is>
          <t>PER-003</t>
        </is>
      </c>
      <c r="F33" s="4" t="inlineStr">
        <is>
          <t>Performance</t>
        </is>
      </c>
      <c r="G33" s="7" t="inlineStr">
        <is>
          <t>Pass</t>
        </is>
      </c>
      <c r="H33" s="4" t="inlineStr">
        <is>
          <t>-</t>
        </is>
      </c>
      <c r="I33" s="13" t="inlineStr">
        <is>
          <t>Manual</t>
        </is>
      </c>
    </row>
    <row r="34" ht="36" customHeight="1">
      <c r="A34" s="4" t="inlineStr">
        <is>
          <t>REQ-031</t>
        </is>
      </c>
      <c r="B34" s="4" t="inlineStr">
        <is>
          <t>Performance</t>
        </is>
      </c>
      <c r="C34" s="5" t="inlineStr">
        <is>
          <t>Lighthouse Best Practices score shall be 80 or above.</t>
        </is>
      </c>
      <c r="D34" s="8" t="inlineStr">
        <is>
          <t>Medium</t>
        </is>
      </c>
      <c r="E34" s="4" t="inlineStr">
        <is>
          <t>PER-004</t>
        </is>
      </c>
      <c r="F34" s="4" t="inlineStr">
        <is>
          <t>Performance</t>
        </is>
      </c>
      <c r="G34" s="7" t="inlineStr">
        <is>
          <t>Pass</t>
        </is>
      </c>
      <c r="H34" s="4" t="inlineStr">
        <is>
          <t>-</t>
        </is>
      </c>
      <c r="I34" s="13" t="inlineStr">
        <is>
          <t>Manual</t>
        </is>
      </c>
    </row>
    <row r="35" ht="36" customHeight="1">
      <c r="A35" s="4" t="inlineStr">
        <is>
          <t>REQ-032</t>
        </is>
      </c>
      <c r="B35" s="4" t="inlineStr">
        <is>
          <t>Performance</t>
        </is>
      </c>
      <c r="C35" s="5" t="inlineStr">
        <is>
          <t>Full page load time shall be under 3 seconds on broadband.</t>
        </is>
      </c>
      <c r="D35" s="6" t="inlineStr">
        <is>
          <t>High</t>
        </is>
      </c>
      <c r="E35" s="4" t="inlineStr">
        <is>
          <t>PER-005</t>
        </is>
      </c>
      <c r="F35" s="4" t="inlineStr">
        <is>
          <t>Performance</t>
        </is>
      </c>
      <c r="G35" s="10" t="inlineStr">
        <is>
          <t>Fail</t>
        </is>
      </c>
      <c r="H35" s="6" t="inlineStr">
        <is>
          <t>BUG-003</t>
        </is>
      </c>
      <c r="I35" s="13" t="inlineStr">
        <is>
          <t>Manual</t>
        </is>
      </c>
    </row>
    <row r="36" ht="36" customHeight="1">
      <c r="A36" s="4" t="inlineStr">
        <is>
          <t>REQ-033</t>
        </is>
      </c>
      <c r="B36" s="4" t="inlineStr">
        <is>
          <t>Performance</t>
        </is>
      </c>
      <c r="C36" s="5" t="inlineStr">
        <is>
          <t>Images shall be optimized; no single image larger than ~500 KB.</t>
        </is>
      </c>
      <c r="D36" s="8" t="inlineStr">
        <is>
          <t>Medium</t>
        </is>
      </c>
      <c r="E36" s="4" t="inlineStr">
        <is>
          <t>PER-007</t>
        </is>
      </c>
      <c r="F36" s="4" t="inlineStr">
        <is>
          <t>Performance</t>
        </is>
      </c>
      <c r="G36" s="10" t="inlineStr">
        <is>
          <t>Fail</t>
        </is>
      </c>
      <c r="H36" s="6" t="inlineStr">
        <is>
          <t>BUG-004</t>
        </is>
      </c>
      <c r="I36" s="13" t="inlineStr">
        <is>
          <t>Manual</t>
        </is>
      </c>
    </row>
    <row r="37" ht="36" customHeight="1">
      <c r="A37" s="4" t="inlineStr">
        <is>
          <t>REQ-034</t>
        </is>
      </c>
      <c r="B37" s="4" t="inlineStr">
        <is>
          <t>Security - Transport</t>
        </is>
      </c>
      <c r="C37" s="5" t="inlineStr">
        <is>
          <t>Application shall be served over HTTPS; HTTP shall redirect to HTTPS.</t>
        </is>
      </c>
      <c r="D37" s="6" t="inlineStr">
        <is>
          <t>High</t>
        </is>
      </c>
      <c r="E37" s="4" t="inlineStr">
        <is>
          <t>SEC-001</t>
        </is>
      </c>
      <c r="F37" s="4" t="inlineStr">
        <is>
          <t>Security</t>
        </is>
      </c>
      <c r="G37" s="7" t="inlineStr">
        <is>
          <t>Pass</t>
        </is>
      </c>
      <c r="H37" s="4" t="inlineStr">
        <is>
          <t>-</t>
        </is>
      </c>
      <c r="I37" s="13" t="inlineStr">
        <is>
          <t>Manual</t>
        </is>
      </c>
    </row>
    <row r="38" ht="36" customHeight="1">
      <c r="A38" s="4" t="inlineStr">
        <is>
          <t>REQ-035</t>
        </is>
      </c>
      <c r="B38" s="4" t="inlineStr">
        <is>
          <t>Security - Login</t>
        </is>
      </c>
      <c r="C38" s="5" t="inlineStr">
        <is>
          <t>Login form shall be safe against SQL Injection attempts.</t>
        </is>
      </c>
      <c r="D38" s="6" t="inlineStr">
        <is>
          <t>High</t>
        </is>
      </c>
      <c r="E38" s="4" t="inlineStr">
        <is>
          <t>SEC-002</t>
        </is>
      </c>
      <c r="F38" s="4" t="inlineStr">
        <is>
          <t>Security</t>
        </is>
      </c>
      <c r="G38" s="7" t="inlineStr">
        <is>
          <t>Pass</t>
        </is>
      </c>
      <c r="H38" s="4" t="inlineStr">
        <is>
          <t>-</t>
        </is>
      </c>
      <c r="I38" s="13" t="inlineStr">
        <is>
          <t>Manual</t>
        </is>
      </c>
    </row>
    <row r="39" ht="36" customHeight="1">
      <c r="A39" s="4" t="inlineStr">
        <is>
          <t>REQ-036</t>
        </is>
      </c>
      <c r="B39" s="4" t="inlineStr">
        <is>
          <t>Security - URL</t>
        </is>
      </c>
      <c r="C39" s="5" t="inlineStr">
        <is>
          <t>Invalid category URLs shall return a friendly 404 page (no debug traceback).</t>
        </is>
      </c>
      <c r="D39" s="6" t="inlineStr">
        <is>
          <t>High</t>
        </is>
      </c>
      <c r="E39" s="4" t="inlineStr">
        <is>
          <t>SEC-004</t>
        </is>
      </c>
      <c r="F39" s="4" t="inlineStr">
        <is>
          <t>Security</t>
        </is>
      </c>
      <c r="G39" s="10" t="inlineStr">
        <is>
          <t>Fail</t>
        </is>
      </c>
      <c r="H39" s="6" t="inlineStr">
        <is>
          <t>BUG-005</t>
        </is>
      </c>
      <c r="I39" s="13" t="inlineStr">
        <is>
          <t>Manual</t>
        </is>
      </c>
    </row>
    <row r="40" ht="36" customHeight="1">
      <c r="A40" s="4" t="inlineStr">
        <is>
          <t>REQ-037</t>
        </is>
      </c>
      <c r="B40" s="4" t="inlineStr">
        <is>
          <t>Security - Config</t>
        </is>
      </c>
      <c r="C40" s="5" t="inlineStr">
        <is>
          <t>Django DEBUG shall be set to False in production.</t>
        </is>
      </c>
      <c r="D40" s="6" t="inlineStr">
        <is>
          <t>High</t>
        </is>
      </c>
      <c r="E40" s="4" t="inlineStr">
        <is>
          <t>SEC-005</t>
        </is>
      </c>
      <c r="F40" s="4" t="inlineStr">
        <is>
          <t>Security</t>
        </is>
      </c>
      <c r="G40" s="7" t="inlineStr">
        <is>
          <t>Pass</t>
        </is>
      </c>
      <c r="H40" s="4" t="inlineStr">
        <is>
          <t>-</t>
        </is>
      </c>
      <c r="I40" s="13" t="inlineStr">
        <is>
          <t>Manual</t>
        </is>
      </c>
    </row>
    <row r="41" ht="36" customHeight="1">
      <c r="A41" s="4" t="inlineStr">
        <is>
          <t>REQ-038</t>
        </is>
      </c>
      <c r="B41" s="4" t="inlineStr">
        <is>
          <t>Security - Admin</t>
        </is>
      </c>
      <c r="C41" s="5" t="inlineStr">
        <is>
          <t>Django admin panel shall be protected by a strong password and not be publicly enumerable.</t>
        </is>
      </c>
      <c r="D41" s="6" t="inlineStr">
        <is>
          <t>High</t>
        </is>
      </c>
      <c r="E41" s="4" t="inlineStr">
        <is>
          <t>SEC-006</t>
        </is>
      </c>
      <c r="F41" s="4" t="inlineStr">
        <is>
          <t>Security</t>
        </is>
      </c>
      <c r="G41" s="7" t="inlineStr">
        <is>
          <t>Pass</t>
        </is>
      </c>
      <c r="H41" s="4" t="inlineStr">
        <is>
          <t>-</t>
        </is>
      </c>
      <c r="I41" s="13" t="inlineStr">
        <is>
          <t>Manual</t>
        </is>
      </c>
    </row>
    <row r="42" ht="36" customHeight="1">
      <c r="A42" s="4" t="inlineStr">
        <is>
          <t>REQ-039</t>
        </is>
      </c>
      <c r="B42" s="4" t="inlineStr">
        <is>
          <t>Security - Forms</t>
        </is>
      </c>
      <c r="C42" s="5" t="inlineStr">
        <is>
          <t>All forms shall include a CSRF token (csrfmiddlewaretoken).</t>
        </is>
      </c>
      <c r="D42" s="6" t="inlineStr">
        <is>
          <t>High</t>
        </is>
      </c>
      <c r="E42" s="4" t="inlineStr">
        <is>
          <t>SEC-008</t>
        </is>
      </c>
      <c r="F42" s="4" t="inlineStr">
        <is>
          <t>Security</t>
        </is>
      </c>
      <c r="G42" s="10" t="inlineStr">
        <is>
          <t>Fail</t>
        </is>
      </c>
      <c r="H42" s="6" t="inlineStr">
        <is>
          <t>BUG-006</t>
        </is>
      </c>
      <c r="I42" s="13" t="inlineStr">
        <is>
          <t>Manual</t>
        </is>
      </c>
    </row>
    <row r="43" ht="36" customHeight="1">
      <c r="A43" s="4" t="inlineStr">
        <is>
          <t>REQ-040</t>
        </is>
      </c>
      <c r="B43" s="4" t="inlineStr">
        <is>
          <t>Security - Auth</t>
        </is>
      </c>
      <c r="C43" s="5" t="inlineStr">
        <is>
          <t>Signup form shall reject weak passwords (e.g., '123', 'password').</t>
        </is>
      </c>
      <c r="D43" s="8" t="inlineStr">
        <is>
          <t>Medium</t>
        </is>
      </c>
      <c r="E43" s="4" t="inlineStr">
        <is>
          <t>SEC-009</t>
        </is>
      </c>
      <c r="F43" s="4" t="inlineStr">
        <is>
          <t>Security</t>
        </is>
      </c>
      <c r="G43" s="7" t="inlineStr">
        <is>
          <t>Pass</t>
        </is>
      </c>
      <c r="H43" s="4" t="inlineStr">
        <is>
          <t>-</t>
        </is>
      </c>
      <c r="I43" s="13" t="inlineStr">
        <is>
          <t>Manual</t>
        </is>
      </c>
    </row>
    <row r="44" ht="36" customHeight="1">
      <c r="A44" s="4" t="inlineStr">
        <is>
          <t>REQ-041</t>
        </is>
      </c>
      <c r="B44" s="4" t="inlineStr">
        <is>
          <t>Security - Session</t>
        </is>
      </c>
      <c r="C44" s="5" t="inlineStr">
        <is>
          <t>Session shall end on logout; back button shall not expose private pages.</t>
        </is>
      </c>
      <c r="D44" s="6" t="inlineStr">
        <is>
          <t>High</t>
        </is>
      </c>
      <c r="E44" s="4" t="inlineStr">
        <is>
          <t>SEC-010</t>
        </is>
      </c>
      <c r="F44" s="4" t="inlineStr">
        <is>
          <t>Security</t>
        </is>
      </c>
      <c r="G44" s="7" t="inlineStr">
        <is>
          <t>Pass</t>
        </is>
      </c>
      <c r="H44" s="4" t="inlineStr">
        <is>
          <t>-</t>
        </is>
      </c>
      <c r="I44" s="13" t="inlineStr">
        <is>
          <t>Manual</t>
        </is>
      </c>
    </row>
    <row r="45" ht="36" customHeight="1">
      <c r="A45" s="4" t="inlineStr">
        <is>
          <t>REQ-042</t>
        </is>
      </c>
      <c r="B45" s="4" t="inlineStr">
        <is>
          <t>Security - Headers</t>
        </is>
      </c>
      <c r="C45" s="5" t="inlineStr">
        <is>
          <t>Response shall include basic security headers (X-Frame-Options, CSP, etc.).</t>
        </is>
      </c>
      <c r="D45" s="8" t="inlineStr">
        <is>
          <t>Medium</t>
        </is>
      </c>
      <c r="E45" s="4" t="inlineStr">
        <is>
          <t>SEC-011</t>
        </is>
      </c>
      <c r="F45" s="4" t="inlineStr">
        <is>
          <t>Security</t>
        </is>
      </c>
      <c r="G45" s="7" t="inlineStr">
        <is>
          <t>Pass</t>
        </is>
      </c>
      <c r="H45" s="4" t="inlineStr">
        <is>
          <t>-</t>
        </is>
      </c>
      <c r="I45" s="13" t="inlineStr">
        <is>
          <t>Manual</t>
        </is>
      </c>
    </row>
  </sheetData>
  <autoFilter ref="A3:I4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RTM Coverage Summary</t>
        </is>
      </c>
    </row>
    <row r="3">
      <c r="A3" s="3" t="inlineStr">
        <is>
          <t>Metric</t>
        </is>
      </c>
      <c r="B3" s="3" t="inlineStr">
        <is>
          <t>Count</t>
        </is>
      </c>
    </row>
    <row r="4">
      <c r="A4" s="5" t="inlineStr">
        <is>
          <t>Total Requirements</t>
        </is>
      </c>
      <c r="B4" s="4">
        <f>COUNTA(RTM!A4:A100)-COUNTBLANK(RTM!A4:A100)</f>
        <v/>
      </c>
    </row>
    <row r="5">
      <c r="A5" s="5" t="inlineStr">
        <is>
          <t>Requirements Mapped to Test Cases</t>
        </is>
      </c>
      <c r="B5" s="4">
        <f>COUNTIF(RTM!E4:E100,"&lt;&gt;")</f>
        <v/>
      </c>
    </row>
    <row r="6">
      <c r="A6" s="5" t="inlineStr">
        <is>
          <t>Requirements Passed</t>
        </is>
      </c>
      <c r="B6" s="4">
        <f>COUNTIF(RTM!G4:G100,"Pass")</f>
        <v/>
      </c>
    </row>
    <row r="7">
      <c r="A7" s="5" t="inlineStr">
        <is>
          <t>Requirements Failed</t>
        </is>
      </c>
      <c r="B7" s="4">
        <f>COUNTIF(RTM!G4:G100,"Fail")</f>
        <v/>
      </c>
    </row>
    <row r="8">
      <c r="A8" s="5" t="inlineStr">
        <is>
          <t>Open Defects</t>
        </is>
      </c>
      <c r="B8" s="4">
        <f>COUNTIFS(RTM!H4:H100,"&lt;&gt;-",RTM!H4:H100,"&lt;&gt;")</f>
        <v/>
      </c>
    </row>
    <row r="10" ht="28" customHeight="1">
      <c r="A10" s="1" t="inlineStr">
        <is>
          <t>Coverage By Test Type</t>
        </is>
      </c>
    </row>
    <row r="11">
      <c r="A11" s="3" t="inlineStr">
        <is>
          <t>Test Type</t>
        </is>
      </c>
      <c r="B11" s="3" t="inlineStr">
        <is>
          <t>Total</t>
        </is>
      </c>
      <c r="C11" s="3" t="inlineStr">
        <is>
          <t>Passed</t>
        </is>
      </c>
      <c r="D11" s="3" t="inlineStr">
        <is>
          <t>Failed</t>
        </is>
      </c>
    </row>
    <row r="12">
      <c r="A12" s="11" t="inlineStr">
        <is>
          <t>Functional</t>
        </is>
      </c>
      <c r="B12" s="4">
        <f>COUNTIF(RTM!F4:F100,"Functional")</f>
        <v/>
      </c>
      <c r="C12" s="4">
        <f>COUNTIFS(RTM!F4:F100,"Functional",RTM!G4:G100,"Pass")</f>
        <v/>
      </c>
      <c r="D12" s="4">
        <f>COUNTIFS(RTM!F4:F100,"Functional",RTM!G4:G100,"Fail")</f>
        <v/>
      </c>
    </row>
    <row r="13">
      <c r="A13" s="7" t="inlineStr">
        <is>
          <t>UI/UX</t>
        </is>
      </c>
      <c r="B13" s="4">
        <f>COUNTIF(RTM!F4:F100,"UI/UX")</f>
        <v/>
      </c>
      <c r="C13" s="4">
        <f>COUNTIFS(RTM!F4:F100,"UI/UX",RTM!G4:G100,"Pass")</f>
        <v/>
      </c>
      <c r="D13" s="4">
        <f>COUNTIFS(RTM!F4:F100,"UI/UX",RTM!G4:G100,"Fail")</f>
        <v/>
      </c>
    </row>
    <row r="14">
      <c r="A14" s="12" t="inlineStr">
        <is>
          <t>Performance</t>
        </is>
      </c>
      <c r="B14" s="4">
        <f>COUNTIF(RTM!F4:F100,"Performance")</f>
        <v/>
      </c>
      <c r="C14" s="4">
        <f>COUNTIFS(RTM!F4:F100,"Performance",RTM!G4:G100,"Pass")</f>
        <v/>
      </c>
      <c r="D14" s="4">
        <f>COUNTIFS(RTM!F4:F100,"Performance",RTM!G4:G100,"Fail")</f>
        <v/>
      </c>
    </row>
    <row r="15">
      <c r="A15" s="10" t="inlineStr">
        <is>
          <t>Security</t>
        </is>
      </c>
      <c r="B15" s="4">
        <f>COUNTIF(RTM!F4:F100,"Security")</f>
        <v/>
      </c>
      <c r="C15" s="4">
        <f>COUNTIFS(RTM!F4:F100,"Security",RTM!G4:G100,"Pass")</f>
        <v/>
      </c>
      <c r="D15" s="4">
        <f>COUNTIFS(RTM!F4:F100,"Security",RTM!G4:G100,"Fail")</f>
        <v/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2026-05-20T19:33:40Z</dcterms:created>
  <dcterms:modified xmlns:dcterms="http://purl.org/dc/terms/" xmlns:xsi="http://www.w3.org/2001/XMLSchema-instance" xsi:type="dcterms:W3CDTF">2026-05-21T10:09:17Z</dcterms:modified>
</cp:coreProperties>
</file>