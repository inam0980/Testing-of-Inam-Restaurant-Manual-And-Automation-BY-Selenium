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A:\Testing Project\"/>
    </mc:Choice>
  </mc:AlternateContent>
  <xr:revisionPtr revIDLastSave="0" documentId="13_ncr:1_{88492746-AF2F-4EE5-9CDD-75228B3819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Cases'!$A$3:$L$48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C6" i="2"/>
  <c r="B6" i="2"/>
  <c r="D5" i="2"/>
  <c r="C5" i="2"/>
  <c r="B5" i="2"/>
  <c r="D4" i="2"/>
  <c r="C4" i="2"/>
  <c r="B4" i="2"/>
  <c r="D3" i="2"/>
  <c r="D7" i="2" s="1"/>
  <c r="C3" i="2"/>
  <c r="C7" i="2" s="1"/>
  <c r="B3" i="2"/>
  <c r="B7" i="2" s="1"/>
</calcChain>
</file>

<file path=xl/sharedStrings.xml><?xml version="1.0" encoding="utf-8"?>
<sst xmlns="http://schemas.openxmlformats.org/spreadsheetml/2006/main" count="530" uniqueCount="295">
  <si>
    <t>Inam Restaurant Website — Test Case Sheet</t>
  </si>
  <si>
    <t>URL: https://inam0980.pythonanywhere.com/   |   Tester: Inam Khan   |   Date: 21/05/2026_</t>
  </si>
  <si>
    <t>TC ID</t>
  </si>
  <si>
    <t>Module</t>
  </si>
  <si>
    <t>Category</t>
  </si>
  <si>
    <t>Test Case 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</si>
  <si>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</si>
  <si>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</si>
  <si>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</si>
  <si>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</si>
  <si>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</si>
  <si>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</si>
  <si>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</si>
  <si>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Remarks</t>
  </si>
  <si>
    <t>FUN-001</t>
  </si>
  <si>
    <t>Home Page</t>
  </si>
  <si>
    <t>Functional</t>
  </si>
  <si>
    <t>Verify home page loads successfully</t>
  </si>
  <si>
    <t>Internet connection available</t>
  </si>
  <si>
    <t>1. Open browser
2. Enter URL https://inam0980.pythonanywhere.com/
3. Press Enter</t>
  </si>
  <si>
    <t>URL: https://inam0980.pythonanywhere.com/</t>
  </si>
  <si>
    <t>Home page loads within 5 seconds with banner, menu and footer visible</t>
  </si>
  <si>
    <t>Working as expected</t>
  </si>
  <si>
    <t>Pass</t>
  </si>
  <si>
    <t>High</t>
  </si>
  <si>
    <t>FUN-002</t>
  </si>
  <si>
    <t>Verify banner carousel auto-slides</t>
  </si>
  <si>
    <t>Home page is open</t>
  </si>
  <si>
    <t>1. Wait on home page for 10 seconds
2. Observe banner section</t>
  </si>
  <si>
    <t>N/A</t>
  </si>
  <si>
    <t>Banner images change automatically every few seconds</t>
  </si>
  <si>
    <t>Medium</t>
  </si>
  <si>
    <t>FUN-003</t>
  </si>
  <si>
    <t>Navigation</t>
  </si>
  <si>
    <t>Verify all navigation menu links work</t>
  </si>
  <si>
    <t>1. Click Home
2. Click Menu / Category
3. Click Gallery
4. Click Contact
5. Click Login</t>
  </si>
  <si>
    <t>Each link opens correct page without 404 / 500 errors</t>
  </si>
  <si>
    <t>FUN-004</t>
  </si>
  <si>
    <t>Menu - Category</t>
  </si>
  <si>
    <t>Verify Biryani category opens and lists items</t>
  </si>
  <si>
    <t>1. Click on Biryani category card</t>
  </si>
  <si>
    <t>Category: Biryani</t>
  </si>
  <si>
    <t>Biryani items are displayed with image, name and price</t>
  </si>
  <si>
    <t>Category title text looks too long — likely description in title field</t>
  </si>
  <si>
    <t>FUN-005</t>
  </si>
  <si>
    <t>Verify Pizza category opens and lists items</t>
  </si>
  <si>
    <t>1. Click on Pizza category card</t>
  </si>
  <si>
    <t>Category: Pizza</t>
  </si>
  <si>
    <t>Pizza items displayed correctly</t>
  </si>
  <si>
    <t>FUN-006</t>
  </si>
  <si>
    <t>Verify Burgers category opens and lists items</t>
  </si>
  <si>
    <t>1. Click on Burgers category card</t>
  </si>
  <si>
    <t>Category: Burgers</t>
  </si>
  <si>
    <t>Burger items displayed correctly</t>
  </si>
  <si>
    <t>FUN-007</t>
  </si>
  <si>
    <t>Verify Snacks category opens and lists items</t>
  </si>
  <si>
    <t>1. Click on Snacks category card</t>
  </si>
  <si>
    <t>Category: Snacks</t>
  </si>
  <si>
    <t>Snack items displayed correctly</t>
  </si>
  <si>
    <t>FUN-008</t>
  </si>
  <si>
    <t>Verify Desserts category opens and lists items</t>
  </si>
  <si>
    <t>1. Click on Desserts category card</t>
  </si>
  <si>
    <t>Category: Desserts</t>
  </si>
  <si>
    <t>Dessert items displayed correctly</t>
  </si>
  <si>
    <t>FUN-009</t>
  </si>
  <si>
    <t>Verify Drinks category opens and lists items</t>
  </si>
  <si>
    <t>1. Click on Drinks category card</t>
  </si>
  <si>
    <t>Category: Drinks</t>
  </si>
  <si>
    <t>Drink items displayed correctly</t>
  </si>
  <si>
    <t>FUN-010</t>
  </si>
  <si>
    <t>Login</t>
  </si>
  <si>
    <t>Verify login with valid credentials</t>
  </si>
  <si>
    <t>User has valid account</t>
  </si>
  <si>
    <t>1. Click Login
2. Enter valid username
3. Enter valid password
4. Click Submit</t>
  </si>
  <si>
    <t>User logs in and is redirected to dashboard / home</t>
  </si>
  <si>
    <t>Automated using Selenium (Python). Screenshot evidence available.</t>
  </si>
  <si>
    <t>FUN-011</t>
  </si>
  <si>
    <t>Verify login fails with wrong password</t>
  </si>
  <si>
    <t>1. Enter valid username
2. Enter wrong password
3. Click Submit</t>
  </si>
  <si>
    <t>Error message shown: 'Invalid credentials' (no login)</t>
  </si>
  <si>
    <t>FUN-012</t>
  </si>
  <si>
    <t>Verify validation on empty submit</t>
  </si>
  <si>
    <t>Login page is open</t>
  </si>
  <si>
    <t>1. Leave username and password empty
2. Click Submit</t>
  </si>
  <si>
    <t>Empty fields</t>
  </si>
  <si>
    <t>Validation message appears, form not submitted</t>
  </si>
  <si>
    <t>FUN-013</t>
  </si>
  <si>
    <t>Verify login fails for non-existing user</t>
  </si>
  <si>
    <t>1. Enter random username
2. Enter random password
3. Click Submit</t>
  </si>
  <si>
    <t>Error message: user not found / invalid credentials</t>
  </si>
  <si>
    <t>FUN-014</t>
  </si>
  <si>
    <t>Logout</t>
  </si>
  <si>
    <t>Verify logout works</t>
  </si>
  <si>
    <t>User is logged in</t>
  </si>
  <si>
    <t>1. Click Logout button</t>
  </si>
  <si>
    <t>User is logged out and redirected to home / login</t>
  </si>
  <si>
    <t>FUN-015</t>
  </si>
  <si>
    <t>Contact</t>
  </si>
  <si>
    <t>Verify contact page loads</t>
  </si>
  <si>
    <t>Site is open</t>
  </si>
  <si>
    <t>1. Click Contact in nav</t>
  </si>
  <si>
    <t>Contact info / form is visible</t>
  </si>
  <si>
    <t>FUN-016</t>
  </si>
  <si>
    <t>Verify contact form submission (if exists)</t>
  </si>
  <si>
    <t>On contact page</t>
  </si>
  <si>
    <t>1. Fill name, email, message
2. Click Submit</t>
  </si>
  <si>
    <t>Name: Test User
Email: test@test.com
Msg: Hello</t>
  </si>
  <si>
    <t>Success message shown / email delivered</t>
  </si>
  <si>
    <t>Skip if form does not exist</t>
  </si>
  <si>
    <t>FUN-017</t>
  </si>
  <si>
    <t>Gallery</t>
  </si>
  <si>
    <t>Verify gallery images load</t>
  </si>
  <si>
    <t>Gallery page open</t>
  </si>
  <si>
    <t>1. Open Gallery
2. Scroll through images</t>
  </si>
  <si>
    <t>All images load without broken icons</t>
  </si>
  <si>
    <t>FUN-018</t>
  </si>
  <si>
    <t>Footer</t>
  </si>
  <si>
    <t>Verify social media / external links</t>
  </si>
  <si>
    <t>Home page open</t>
  </si>
  <si>
    <t>1. Scroll to footer
2. Click each social icon</t>
  </si>
  <si>
    <t>Each link opens correct external profile in new tab</t>
  </si>
  <si>
    <t>External / social links open in the SAME tab instead of a new tab — user loses the restaurant site.</t>
  </si>
  <si>
    <t>Fail</t>
  </si>
  <si>
    <t>Low</t>
  </si>
  <si>
    <t>UIX-001</t>
  </si>
  <si>
    <t>Responsive</t>
  </si>
  <si>
    <t>UI/UX</t>
  </si>
  <si>
    <t>Verify site looks good on mobile</t>
  </si>
  <si>
    <t>Chrome DevTools open</t>
  </si>
  <si>
    <t>1. Press F12
2. Toggle device toolbar (Ctrl+Shift+M)
3. Select iPhone 12 / Pixel 5
4. Reload page</t>
  </si>
  <si>
    <t>Mobile viewport 375x667</t>
  </si>
  <si>
    <t>Layout adapts, no horizontal scroll, text readable, buttons tappable</t>
  </si>
  <si>
    <t>UIX-002</t>
  </si>
  <si>
    <t>Verify site looks good on tablet</t>
  </si>
  <si>
    <t>1. Open DevTools
2. Choose iPad device
3. Reload</t>
  </si>
  <si>
    <t>Tablet viewport 768x1024</t>
  </si>
  <si>
    <t>Layout adapts cleanly</t>
  </si>
  <si>
    <t>UIX-003</t>
  </si>
  <si>
    <t>Cross-browser</t>
  </si>
  <si>
    <t>Verify site in Chrome</t>
  </si>
  <si>
    <t>Chrome installed</t>
  </si>
  <si>
    <t>1. Open site in Chrome</t>
  </si>
  <si>
    <t>Site renders correctly, no console errors</t>
  </si>
  <si>
    <t>UIX-004</t>
  </si>
  <si>
    <t>Verify site in Firefox</t>
  </si>
  <si>
    <t>Firefox installed</t>
  </si>
  <si>
    <t>1. Open site in Firefox</t>
  </si>
  <si>
    <t>Site renders correctly</t>
  </si>
  <si>
    <t>UIX-005</t>
  </si>
  <si>
    <t>Verify site in Microsoft Edge</t>
  </si>
  <si>
    <t>Edge installed</t>
  </si>
  <si>
    <t>1. Open site in Edge</t>
  </si>
  <si>
    <t>UIX-006</t>
  </si>
  <si>
    <t>Content</t>
  </si>
  <si>
    <t>Biryani category title length</t>
  </si>
  <si>
    <t>1. Look at category cards on home page</t>
  </si>
  <si>
    <t>Title should be short (e.g. 'Biryani'), not a full paragraph</t>
  </si>
  <si>
    <t>Currently full description in title field — needs fix</t>
  </si>
  <si>
    <t>UIX-007</t>
  </si>
  <si>
    <t>Spell check across site</t>
  </si>
  <si>
    <t>1. Read text content on every page</t>
  </si>
  <si>
    <t>No spelling / grammar mistakes</t>
  </si>
  <si>
    <t>UIX-008</t>
  </si>
  <si>
    <t>Images</t>
  </si>
  <si>
    <t>Check for broken images</t>
  </si>
  <si>
    <t>1. Open DevTools Network tab
2. Reload
3. Filter by Img
4. Look for 404</t>
  </si>
  <si>
    <t>No image returns 404</t>
  </si>
  <si>
    <t>UIX-009</t>
  </si>
  <si>
    <t>Console</t>
  </si>
  <si>
    <t>Check browser console for errors</t>
  </si>
  <si>
    <t>1. F12 → Console tab
2. Reload page
3. Click through site</t>
  </si>
  <si>
    <t>No red errors in console</t>
  </si>
  <si>
    <t>PER-001</t>
  </si>
  <si>
    <t>Lighthouse</t>
  </si>
  <si>
    <t>Performance</t>
  </si>
  <si>
    <t>Run Lighthouse performance audit</t>
  </si>
  <si>
    <t>Chrome browser</t>
  </si>
  <si>
    <t>1. F12 → Lighthouse tab
2. Select Performance + Mobile
3. Click 'Analyze page load'</t>
  </si>
  <si>
    <t>URL: home page</t>
  </si>
  <si>
    <t>Performance score &gt;= 70 (target 90)</t>
  </si>
  <si>
    <t>Lighthouse Performance score = 68 (below target 70+). Screenshot path: &lt;to be added&gt;.</t>
  </si>
  <si>
    <t>PER-002</t>
  </si>
  <si>
    <t>Run accessibility audit</t>
  </si>
  <si>
    <t>1. F12 → Lighthouse
2. Select Accessibility
3. Analyze</t>
  </si>
  <si>
    <t>Score &gt;= 80</t>
  </si>
  <si>
    <t>PER-003</t>
  </si>
  <si>
    <t>Run SEO audit</t>
  </si>
  <si>
    <t>1. F12 → Lighthouse
2. Select SEO
3. Analyze</t>
  </si>
  <si>
    <t>Score &gt;= 80, meta tags present</t>
  </si>
  <si>
    <t>PER-004</t>
  </si>
  <si>
    <t>Run best practices audit</t>
  </si>
  <si>
    <t>1. F12 → Lighthouse
2. Select Best Practices
3. Analyze</t>
  </si>
  <si>
    <t>PER-005</t>
  </si>
  <si>
    <t>Page Speed</t>
  </si>
  <si>
    <t>Measure full page load time</t>
  </si>
  <si>
    <t>Chrome DevTools</t>
  </si>
  <si>
    <t>1. F12 → Network tab
2. Disable cache
3. Reload
4. Check 'Load' time at bottom</t>
  </si>
  <si>
    <t>Page loads in under 3 seconds</t>
  </si>
  <si>
    <t>Full page load takes ~5 seconds (target &lt; 3s).</t>
  </si>
  <si>
    <t>PER-006</t>
  </si>
  <si>
    <t>External</t>
  </si>
  <si>
    <t>Run Google PageSpeed Insights</t>
  </si>
  <si>
    <t>Internet access</t>
  </si>
  <si>
    <t>1. Visit https://pagespeed.web.dev/
2. Paste site URL
3. Click Analyze</t>
  </si>
  <si>
    <t>Site URL</t>
  </si>
  <si>
    <t>Mobile and Desktop scores recorded</t>
  </si>
  <si>
    <t>PER-007</t>
  </si>
  <si>
    <t>Verify images are optimized</t>
  </si>
  <si>
    <t>Site loaded</t>
  </si>
  <si>
    <t>1. DevTools → Network → Img filter
2. Check each image size</t>
  </si>
  <si>
    <t>No image larger than ~500 KB, JPG/WebP used</t>
  </si>
  <si>
    <t>Images are very heavy — around 2000 KB each (target &lt; 500 KB).</t>
  </si>
  <si>
    <t>SEC-001</t>
  </si>
  <si>
    <t>Transport</t>
  </si>
  <si>
    <t>Security</t>
  </si>
  <si>
    <t>Verify site uses HTTPS</t>
  </si>
  <si>
    <t>Browser open</t>
  </si>
  <si>
    <t>1. Look at address bar lock icon
2. Try http:// version of URL</t>
  </si>
  <si>
    <t>HTTPS enforced, http redirects to https</t>
  </si>
  <si>
    <t>SEC-002</t>
  </si>
  <si>
    <t>Try SQL injection in login form</t>
  </si>
  <si>
    <t>Login page open</t>
  </si>
  <si>
    <t>admin' OR '1'='1</t>
  </si>
  <si>
    <t>Login fails with safe error, no DB error / no bypass</t>
  </si>
  <si>
    <t>Only on your own site!</t>
  </si>
  <si>
    <t>SEC-003</t>
  </si>
  <si>
    <t>Try XSS payload in input fields</t>
  </si>
  <si>
    <t>Login / contact page open</t>
  </si>
  <si>
    <t>1. In any text input enter: &lt;script&gt;alert(1)&lt;/script&gt;
2. Submit</t>
  </si>
  <si>
    <t>&lt;script&gt;alert(1)&lt;/script&gt;</t>
  </si>
  <si>
    <t>Script is escaped / not executed; no alert popup</t>
  </si>
  <si>
    <t>SEC-004</t>
  </si>
  <si>
    <t>URL</t>
  </si>
  <si>
    <t>Try invalid URL params</t>
  </si>
  <si>
    <t>Site open</t>
  </si>
  <si>
    <t>1. Visit /category/9999/
2. Visit /category/abc/
3. Visit /category/-1/</t>
  </si>
  <si>
    <t>9999, abc, -1</t>
  </si>
  <si>
    <t>Friendly 404 page (not Django debug error)</t>
  </si>
  <si>
    <t>Invalid category URL does NOT return 404 — instead shows actual code / Django debug error page.</t>
  </si>
  <si>
    <t>SEC-005</t>
  </si>
  <si>
    <t>Config</t>
  </si>
  <si>
    <t>Verify Django DEBUG is OFF in production</t>
  </si>
  <si>
    <t>Site is live</t>
  </si>
  <si>
    <t>1. Visit a non-existing URL e.g. /random123/
2. Observe the error page</t>
  </si>
  <si>
    <t>/random123/</t>
  </si>
  <si>
    <t>Generic 404 page, NOT Django yellow debug traceback</t>
  </si>
  <si>
    <t>If debug page shows — major risk</t>
  </si>
  <si>
    <t>SEC-006</t>
  </si>
  <si>
    <t>Admin</t>
  </si>
  <si>
    <t>Check admin URL exposure</t>
  </si>
  <si>
    <t>1. Visit /admin/</t>
  </si>
  <si>
    <t>Admin login should be accessible only to staff; strong password set</t>
  </si>
  <si>
    <t>Consider changing default /admin/ path</t>
  </si>
  <si>
    <t>SEC-007</t>
  </si>
  <si>
    <t>Auth</t>
  </si>
  <si>
    <t>Verify protected pages need login</t>
  </si>
  <si>
    <t>Logged out</t>
  </si>
  <si>
    <t>1. Try to access user-only URL without login (e.g., dashboard)</t>
  </si>
  <si>
    <t>Protected URL</t>
  </si>
  <si>
    <t>Redirected to login page</t>
  </si>
  <si>
    <t>SEC-008</t>
  </si>
  <si>
    <t>CSRF</t>
  </si>
  <si>
    <t>Verify forms have CSRF tokens</t>
  </si>
  <si>
    <t>View any form</t>
  </si>
  <si>
    <t>1. Right-click → View page source on a form
2. Look for csrfmiddlewaretoken</t>
  </si>
  <si>
    <t>Hidden csrfmiddlewaretoken field is present in every form</t>
  </si>
  <si>
    <t>CSRF token (csrfmiddlewaretoken) is NOT present in form HTML.</t>
  </si>
  <si>
    <t>SEC-009</t>
  </si>
  <si>
    <t>Password</t>
  </si>
  <si>
    <t>Verify password policy on signup</t>
  </si>
  <si>
    <t>Signup page (if exists)</t>
  </si>
  <si>
    <t>1. Try registering with password: 123
2. Try: password</t>
  </si>
  <si>
    <t>Weak passwords</t>
  </si>
  <si>
    <t>Weak passwords rejected with proper message</t>
  </si>
  <si>
    <t>SEC-010</t>
  </si>
  <si>
    <t>Session</t>
  </si>
  <si>
    <t>Verify session ends on logout</t>
  </si>
  <si>
    <t>User logged in</t>
  </si>
  <si>
    <t>1. Logout
2. Press browser Back button
3. Try to access protected page</t>
  </si>
  <si>
    <t>Redirected to login, no cached private content shown</t>
  </si>
  <si>
    <t>SEC-011</t>
  </si>
  <si>
    <t>Headers</t>
  </si>
  <si>
    <t>Check for security headers</t>
  </si>
  <si>
    <t>Online tool access</t>
  </si>
  <si>
    <t>1. Visit https://securityheaders.com/
2. Enter site URL
3. Scan</t>
  </si>
  <si>
    <t>Grade B or above; X-Frame-Options, CSP, etc. present</t>
  </si>
  <si>
    <t>Test Execution Summary</t>
  </si>
  <si>
    <t>Total</t>
  </si>
  <si>
    <t>Passed</t>
  </si>
  <si>
    <t>Failed</t>
  </si>
  <si>
    <t>TOTAL</t>
  </si>
  <si>
    <t>username=inam0980 &amp; password=inam0980</t>
  </si>
  <si>
    <t>Valid user=inam0980, wrong password=1234</t>
  </si>
  <si>
    <t>khan123 / inamkhan234</t>
  </si>
  <si>
    <t>1. Username: admin' 
2. Password: khan123
3.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</si>
</sst>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BF8F00"/>
      <name val="Calibri"/>
    </font>
    <font>
      <b/>
      <sz val="11"/>
      <color rgb="FF548235"/>
      <name val="Calibri"/>
    </font>
    <font>
      <b/>
      <sz val="11"/>
      <name val="Calibri"/>
    </font>
    <font>
      <b/>
      <sz val="11"/>
      <color rgb="FF1F4E7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C00000"/>
      </patternFill>
    </fill>
    <fill>
      <patternFill patternType="solid">
        <fgColor rgb="FFDE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zoomScale="46" workbookViewId="0">
      <pane ySplit="3" topLeftCell="A4" activePane="bottomLeft" state="frozen"/>
      <selection pane="bottomLeft" activeCell="F40" sqref="F40"/>
    </sheetView>
  </sheetViews>
  <sheetFormatPr defaultRowHeight="14.5" x14ac:dyDescent="0.35"/>
  <cols>
    <col min="1" max="1" width="12" customWidth="1"/>
    <col min="2" max="2" width="18" customWidth="1"/>
    <col min="3" max="3" width="14" customWidth="1"/>
    <col min="4" max="4" width="32" customWidth="1"/>
    <col min="5" max="5" width="24" customWidth="1"/>
    <col min="6" max="6" width="38" customWidth="1"/>
    <col min="7" max="7" width="22" customWidth="1"/>
    <col min="8" max="8" width="36" customWidth="1"/>
    <col min="9" max="9" width="22" customWidth="1"/>
    <col min="10" max="10" width="12" customWidth="1"/>
    <col min="11" max="11" width="10" customWidth="1"/>
    <col min="12" max="12" width="28" customWidth="1"/>
  </cols>
  <sheetData>
    <row r="1" spans="1:12" ht="28" customHeight="1" x14ac:dyDescent="0.3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0" customHeight="1" x14ac:dyDescent="0.3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28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58" customHeight="1" x14ac:dyDescent="0.35">
      <c r="A4" s="2" t="s">
        <v>14</v>
      </c>
      <c r="B4" s="2" t="s">
        <v>15</v>
      </c>
      <c r="C4" s="3" t="s">
        <v>16</v>
      </c>
      <c r="D4" s="2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8" t="s">
        <v>23</v>
      </c>
      <c r="K4" s="5" t="s">
        <v>24</v>
      </c>
      <c r="L4" s="4"/>
    </row>
    <row r="5" spans="1:12" ht="29" customHeight="1" x14ac:dyDescent="0.35">
      <c r="A5" s="2" t="s">
        <v>25</v>
      </c>
      <c r="B5" s="2" t="s">
        <v>15</v>
      </c>
      <c r="C5" s="3" t="s">
        <v>16</v>
      </c>
      <c r="D5" s="2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22</v>
      </c>
      <c r="J5" s="8" t="s">
        <v>23</v>
      </c>
      <c r="K5" s="6" t="s">
        <v>31</v>
      </c>
      <c r="L5" s="4"/>
    </row>
    <row r="6" spans="1:12" ht="72.5" customHeight="1" x14ac:dyDescent="0.35">
      <c r="A6" s="2" t="s">
        <v>32</v>
      </c>
      <c r="B6" s="2" t="s">
        <v>33</v>
      </c>
      <c r="C6" s="3" t="s">
        <v>16</v>
      </c>
      <c r="D6" s="2" t="s">
        <v>34</v>
      </c>
      <c r="E6" s="4" t="s">
        <v>27</v>
      </c>
      <c r="F6" s="4" t="s">
        <v>35</v>
      </c>
      <c r="G6" s="4" t="s">
        <v>29</v>
      </c>
      <c r="H6" s="4" t="s">
        <v>36</v>
      </c>
      <c r="I6" s="4" t="s">
        <v>22</v>
      </c>
      <c r="J6" s="8" t="s">
        <v>23</v>
      </c>
      <c r="K6" s="5" t="s">
        <v>24</v>
      </c>
      <c r="L6" s="4"/>
    </row>
    <row r="7" spans="1:12" ht="29" customHeight="1" x14ac:dyDescent="0.35">
      <c r="A7" s="2" t="s">
        <v>37</v>
      </c>
      <c r="B7" s="2" t="s">
        <v>38</v>
      </c>
      <c r="C7" s="3" t="s">
        <v>16</v>
      </c>
      <c r="D7" s="2" t="s">
        <v>39</v>
      </c>
      <c r="E7" s="4" t="s">
        <v>27</v>
      </c>
      <c r="F7" s="4" t="s">
        <v>40</v>
      </c>
      <c r="G7" s="4" t="s">
        <v>41</v>
      </c>
      <c r="H7" s="4" t="s">
        <v>42</v>
      </c>
      <c r="I7" s="4" t="s">
        <v>22</v>
      </c>
      <c r="J7" s="8" t="s">
        <v>23</v>
      </c>
      <c r="K7" s="5" t="s">
        <v>24</v>
      </c>
      <c r="L7" s="4" t="s">
        <v>43</v>
      </c>
    </row>
    <row r="8" spans="1:12" ht="29" customHeight="1" x14ac:dyDescent="0.35">
      <c r="A8" s="2" t="s">
        <v>44</v>
      </c>
      <c r="B8" s="2" t="s">
        <v>38</v>
      </c>
      <c r="C8" s="3" t="s">
        <v>16</v>
      </c>
      <c r="D8" s="2" t="s">
        <v>45</v>
      </c>
      <c r="E8" s="4" t="s">
        <v>27</v>
      </c>
      <c r="F8" s="4" t="s">
        <v>46</v>
      </c>
      <c r="G8" s="4" t="s">
        <v>47</v>
      </c>
      <c r="H8" s="4" t="s">
        <v>48</v>
      </c>
      <c r="I8" s="4" t="s">
        <v>22</v>
      </c>
      <c r="J8" s="8" t="s">
        <v>23</v>
      </c>
      <c r="K8" s="5" t="s">
        <v>24</v>
      </c>
      <c r="L8" s="4"/>
    </row>
    <row r="9" spans="1:12" ht="29" customHeight="1" x14ac:dyDescent="0.35">
      <c r="A9" s="2" t="s">
        <v>49</v>
      </c>
      <c r="B9" s="2" t="s">
        <v>38</v>
      </c>
      <c r="C9" s="3" t="s">
        <v>16</v>
      </c>
      <c r="D9" s="2" t="s">
        <v>50</v>
      </c>
      <c r="E9" s="4" t="s">
        <v>27</v>
      </c>
      <c r="F9" s="4" t="s">
        <v>51</v>
      </c>
      <c r="G9" s="4" t="s">
        <v>52</v>
      </c>
      <c r="H9" s="4" t="s">
        <v>53</v>
      </c>
      <c r="I9" s="4" t="s">
        <v>22</v>
      </c>
      <c r="J9" s="8" t="s">
        <v>23</v>
      </c>
      <c r="K9" s="5" t="s">
        <v>24</v>
      </c>
      <c r="L9" s="4"/>
    </row>
    <row r="10" spans="1:12" ht="29" customHeight="1" x14ac:dyDescent="0.35">
      <c r="A10" s="2" t="s">
        <v>54</v>
      </c>
      <c r="B10" s="2" t="s">
        <v>38</v>
      </c>
      <c r="C10" s="3" t="s">
        <v>16</v>
      </c>
      <c r="D10" s="2" t="s">
        <v>55</v>
      </c>
      <c r="E10" s="4" t="s">
        <v>27</v>
      </c>
      <c r="F10" s="4" t="s">
        <v>56</v>
      </c>
      <c r="G10" s="4" t="s">
        <v>57</v>
      </c>
      <c r="H10" s="4" t="s">
        <v>58</v>
      </c>
      <c r="I10" s="4" t="s">
        <v>22</v>
      </c>
      <c r="J10" s="8" t="s">
        <v>23</v>
      </c>
      <c r="K10" s="6" t="s">
        <v>31</v>
      </c>
      <c r="L10" s="4"/>
    </row>
    <row r="11" spans="1:12" ht="29" customHeight="1" x14ac:dyDescent="0.35">
      <c r="A11" s="2" t="s">
        <v>59</v>
      </c>
      <c r="B11" s="2" t="s">
        <v>38</v>
      </c>
      <c r="C11" s="3" t="s">
        <v>16</v>
      </c>
      <c r="D11" s="2" t="s">
        <v>60</v>
      </c>
      <c r="E11" s="4" t="s">
        <v>27</v>
      </c>
      <c r="F11" s="4" t="s">
        <v>61</v>
      </c>
      <c r="G11" s="4" t="s">
        <v>62</v>
      </c>
      <c r="H11" s="4" t="s">
        <v>63</v>
      </c>
      <c r="I11" s="4" t="s">
        <v>22</v>
      </c>
      <c r="J11" s="8" t="s">
        <v>23</v>
      </c>
      <c r="K11" s="6" t="s">
        <v>31</v>
      </c>
      <c r="L11" s="4"/>
    </row>
    <row r="12" spans="1:12" ht="29" customHeight="1" x14ac:dyDescent="0.35">
      <c r="A12" s="2" t="s">
        <v>64</v>
      </c>
      <c r="B12" s="2" t="s">
        <v>38</v>
      </c>
      <c r="C12" s="3" t="s">
        <v>16</v>
      </c>
      <c r="D12" s="2" t="s">
        <v>65</v>
      </c>
      <c r="E12" s="4" t="s">
        <v>27</v>
      </c>
      <c r="F12" s="4" t="s">
        <v>66</v>
      </c>
      <c r="G12" s="4" t="s">
        <v>67</v>
      </c>
      <c r="H12" s="4" t="s">
        <v>68</v>
      </c>
      <c r="I12" s="4" t="s">
        <v>22</v>
      </c>
      <c r="J12" s="8" t="s">
        <v>23</v>
      </c>
      <c r="K12" s="6" t="s">
        <v>31</v>
      </c>
      <c r="L12" s="4"/>
    </row>
    <row r="13" spans="1:12" ht="58" customHeight="1" x14ac:dyDescent="0.35">
      <c r="A13" s="2" t="s">
        <v>69</v>
      </c>
      <c r="B13" s="2" t="s">
        <v>70</v>
      </c>
      <c r="C13" s="3" t="s">
        <v>16</v>
      </c>
      <c r="D13" s="2" t="s">
        <v>71</v>
      </c>
      <c r="E13" s="4" t="s">
        <v>72</v>
      </c>
      <c r="F13" s="4" t="s">
        <v>73</v>
      </c>
      <c r="G13" s="4" t="s">
        <v>291</v>
      </c>
      <c r="H13" s="4" t="s">
        <v>74</v>
      </c>
      <c r="I13" s="4" t="s">
        <v>22</v>
      </c>
      <c r="J13" s="8" t="s">
        <v>23</v>
      </c>
      <c r="K13" s="5" t="s">
        <v>24</v>
      </c>
      <c r="L13" s="13" t="s">
        <v>75</v>
      </c>
    </row>
    <row r="14" spans="1:12" ht="43.5" customHeight="1" x14ac:dyDescent="0.35">
      <c r="A14" s="2" t="s">
        <v>76</v>
      </c>
      <c r="B14" s="2" t="s">
        <v>70</v>
      </c>
      <c r="C14" s="3" t="s">
        <v>16</v>
      </c>
      <c r="D14" s="2" t="s">
        <v>77</v>
      </c>
      <c r="E14" s="4" t="s">
        <v>72</v>
      </c>
      <c r="F14" s="4" t="s">
        <v>78</v>
      </c>
      <c r="G14" s="4" t="s">
        <v>292</v>
      </c>
      <c r="H14" s="4" t="s">
        <v>79</v>
      </c>
      <c r="I14" s="4" t="s">
        <v>22</v>
      </c>
      <c r="J14" s="8" t="s">
        <v>23</v>
      </c>
      <c r="K14" s="5" t="s">
        <v>24</v>
      </c>
      <c r="L14" s="13" t="s">
        <v>75</v>
      </c>
    </row>
    <row r="15" spans="1:12" ht="29" customHeight="1" x14ac:dyDescent="0.35">
      <c r="A15" s="2" t="s">
        <v>80</v>
      </c>
      <c r="B15" s="2" t="s">
        <v>70</v>
      </c>
      <c r="C15" s="3" t="s">
        <v>16</v>
      </c>
      <c r="D15" s="2" t="s">
        <v>81</v>
      </c>
      <c r="E15" s="4" t="s">
        <v>82</v>
      </c>
      <c r="F15" s="4" t="s">
        <v>83</v>
      </c>
      <c r="G15" s="4" t="s">
        <v>84</v>
      </c>
      <c r="H15" s="4" t="s">
        <v>85</v>
      </c>
      <c r="I15" s="4" t="s">
        <v>22</v>
      </c>
      <c r="J15" s="8" t="s">
        <v>23</v>
      </c>
      <c r="K15" s="6" t="s">
        <v>31</v>
      </c>
      <c r="L15" s="13" t="s">
        <v>75</v>
      </c>
    </row>
    <row r="16" spans="1:12" ht="43.5" customHeight="1" x14ac:dyDescent="0.35">
      <c r="A16" s="2" t="s">
        <v>86</v>
      </c>
      <c r="B16" s="2" t="s">
        <v>70</v>
      </c>
      <c r="C16" s="3" t="s">
        <v>16</v>
      </c>
      <c r="D16" s="2" t="s">
        <v>87</v>
      </c>
      <c r="E16" s="4" t="s">
        <v>82</v>
      </c>
      <c r="F16" s="4" t="s">
        <v>88</v>
      </c>
      <c r="G16" s="4" t="s">
        <v>293</v>
      </c>
      <c r="H16" s="4" t="s">
        <v>89</v>
      </c>
      <c r="I16" s="4" t="s">
        <v>22</v>
      </c>
      <c r="J16" s="8" t="s">
        <v>23</v>
      </c>
      <c r="K16" s="6" t="s">
        <v>31</v>
      </c>
      <c r="L16" s="13" t="s">
        <v>75</v>
      </c>
    </row>
    <row r="17" spans="1:12" ht="29" customHeight="1" x14ac:dyDescent="0.35">
      <c r="A17" s="2" t="s">
        <v>90</v>
      </c>
      <c r="B17" s="2" t="s">
        <v>91</v>
      </c>
      <c r="C17" s="3" t="s">
        <v>16</v>
      </c>
      <c r="D17" s="2" t="s">
        <v>92</v>
      </c>
      <c r="E17" s="4" t="s">
        <v>93</v>
      </c>
      <c r="F17" s="4" t="s">
        <v>94</v>
      </c>
      <c r="G17" s="4" t="s">
        <v>29</v>
      </c>
      <c r="H17" s="4" t="s">
        <v>95</v>
      </c>
      <c r="I17" s="4" t="s">
        <v>22</v>
      </c>
      <c r="J17" s="8" t="s">
        <v>23</v>
      </c>
      <c r="K17" s="5" t="s">
        <v>24</v>
      </c>
      <c r="L17" s="13" t="s">
        <v>75</v>
      </c>
    </row>
    <row r="18" spans="1:12" x14ac:dyDescent="0.35">
      <c r="A18" s="2" t="s">
        <v>96</v>
      </c>
      <c r="B18" s="2" t="s">
        <v>97</v>
      </c>
      <c r="C18" s="3" t="s">
        <v>16</v>
      </c>
      <c r="D18" s="2" t="s">
        <v>98</v>
      </c>
      <c r="E18" s="4" t="s">
        <v>99</v>
      </c>
      <c r="F18" s="4" t="s">
        <v>100</v>
      </c>
      <c r="G18" s="4" t="s">
        <v>29</v>
      </c>
      <c r="H18" s="4" t="s">
        <v>101</v>
      </c>
      <c r="I18" s="4" t="s">
        <v>22</v>
      </c>
      <c r="J18" s="8" t="s">
        <v>23</v>
      </c>
      <c r="K18" s="6" t="s">
        <v>31</v>
      </c>
      <c r="L18" s="4"/>
    </row>
    <row r="19" spans="1:12" ht="43.5" customHeight="1" x14ac:dyDescent="0.35">
      <c r="A19" s="2" t="s">
        <v>102</v>
      </c>
      <c r="B19" s="2" t="s">
        <v>97</v>
      </c>
      <c r="C19" s="3" t="s">
        <v>16</v>
      </c>
      <c r="D19" s="2" t="s">
        <v>103</v>
      </c>
      <c r="E19" s="4" t="s">
        <v>104</v>
      </c>
      <c r="F19" s="4" t="s">
        <v>105</v>
      </c>
      <c r="G19" s="4" t="s">
        <v>106</v>
      </c>
      <c r="H19" s="4" t="s">
        <v>107</v>
      </c>
      <c r="I19" s="4" t="s">
        <v>22</v>
      </c>
      <c r="J19" s="8" t="s">
        <v>23</v>
      </c>
      <c r="K19" s="6" t="s">
        <v>31</v>
      </c>
      <c r="L19" s="4" t="s">
        <v>108</v>
      </c>
    </row>
    <row r="20" spans="1:12" ht="29" customHeight="1" x14ac:dyDescent="0.35">
      <c r="A20" s="2" t="s">
        <v>109</v>
      </c>
      <c r="B20" s="2" t="s">
        <v>110</v>
      </c>
      <c r="C20" s="3" t="s">
        <v>16</v>
      </c>
      <c r="D20" s="2" t="s">
        <v>111</v>
      </c>
      <c r="E20" s="4" t="s">
        <v>112</v>
      </c>
      <c r="F20" s="4" t="s">
        <v>113</v>
      </c>
      <c r="G20" s="4" t="s">
        <v>29</v>
      </c>
      <c r="H20" s="4" t="s">
        <v>114</v>
      </c>
      <c r="I20" s="4" t="s">
        <v>22</v>
      </c>
      <c r="J20" s="8" t="s">
        <v>23</v>
      </c>
      <c r="K20" s="6" t="s">
        <v>31</v>
      </c>
      <c r="L20" s="4"/>
    </row>
    <row r="21" spans="1:12" ht="72.5" customHeight="1" x14ac:dyDescent="0.35">
      <c r="A21" s="2" t="s">
        <v>115</v>
      </c>
      <c r="B21" s="2" t="s">
        <v>116</v>
      </c>
      <c r="C21" s="3" t="s">
        <v>16</v>
      </c>
      <c r="D21" s="2" t="s">
        <v>117</v>
      </c>
      <c r="E21" s="4" t="s">
        <v>118</v>
      </c>
      <c r="F21" s="4" t="s">
        <v>119</v>
      </c>
      <c r="G21" s="4" t="s">
        <v>29</v>
      </c>
      <c r="H21" s="4" t="s">
        <v>120</v>
      </c>
      <c r="I21" s="4" t="s">
        <v>121</v>
      </c>
      <c r="J21" s="10" t="s">
        <v>122</v>
      </c>
      <c r="K21" s="7" t="s">
        <v>123</v>
      </c>
      <c r="L21" s="4"/>
    </row>
    <row r="22" spans="1:12" ht="58" customHeight="1" x14ac:dyDescent="0.35">
      <c r="A22" s="2" t="s">
        <v>124</v>
      </c>
      <c r="B22" s="2" t="s">
        <v>125</v>
      </c>
      <c r="C22" s="8" t="s">
        <v>126</v>
      </c>
      <c r="D22" s="2" t="s">
        <v>127</v>
      </c>
      <c r="E22" s="4" t="s">
        <v>128</v>
      </c>
      <c r="F22" s="4" t="s">
        <v>129</v>
      </c>
      <c r="G22" s="4" t="s">
        <v>130</v>
      </c>
      <c r="H22" s="4" t="s">
        <v>131</v>
      </c>
      <c r="I22" s="4" t="s">
        <v>22</v>
      </c>
      <c r="J22" s="8" t="s">
        <v>23</v>
      </c>
      <c r="K22" s="5" t="s">
        <v>24</v>
      </c>
      <c r="L22" s="4"/>
    </row>
    <row r="23" spans="1:12" ht="43.5" customHeight="1" x14ac:dyDescent="0.35">
      <c r="A23" s="2" t="s">
        <v>132</v>
      </c>
      <c r="B23" s="2" t="s">
        <v>125</v>
      </c>
      <c r="C23" s="8" t="s">
        <v>126</v>
      </c>
      <c r="D23" s="2" t="s">
        <v>133</v>
      </c>
      <c r="E23" s="4" t="s">
        <v>128</v>
      </c>
      <c r="F23" s="4" t="s">
        <v>134</v>
      </c>
      <c r="G23" s="4" t="s">
        <v>135</v>
      </c>
      <c r="H23" s="4" t="s">
        <v>136</v>
      </c>
      <c r="I23" s="4" t="s">
        <v>22</v>
      </c>
      <c r="J23" s="8" t="s">
        <v>23</v>
      </c>
      <c r="K23" s="6" t="s">
        <v>31</v>
      </c>
      <c r="L23" s="4"/>
    </row>
    <row r="24" spans="1:12" x14ac:dyDescent="0.35">
      <c r="A24" s="2" t="s">
        <v>137</v>
      </c>
      <c r="B24" s="2" t="s">
        <v>138</v>
      </c>
      <c r="C24" s="8" t="s">
        <v>126</v>
      </c>
      <c r="D24" s="2" t="s">
        <v>139</v>
      </c>
      <c r="E24" s="4" t="s">
        <v>140</v>
      </c>
      <c r="F24" s="4" t="s">
        <v>141</v>
      </c>
      <c r="G24" s="4" t="s">
        <v>29</v>
      </c>
      <c r="H24" s="4" t="s">
        <v>142</v>
      </c>
      <c r="I24" s="4" t="s">
        <v>22</v>
      </c>
      <c r="J24" s="8" t="s">
        <v>23</v>
      </c>
      <c r="K24" s="5" t="s">
        <v>24</v>
      </c>
      <c r="L24" s="4"/>
    </row>
    <row r="25" spans="1:12" x14ac:dyDescent="0.35">
      <c r="A25" s="2" t="s">
        <v>143</v>
      </c>
      <c r="B25" s="2" t="s">
        <v>138</v>
      </c>
      <c r="C25" s="8" t="s">
        <v>126</v>
      </c>
      <c r="D25" s="2" t="s">
        <v>144</v>
      </c>
      <c r="E25" s="4" t="s">
        <v>145</v>
      </c>
      <c r="F25" s="4" t="s">
        <v>146</v>
      </c>
      <c r="G25" s="4" t="s">
        <v>29</v>
      </c>
      <c r="H25" s="4" t="s">
        <v>147</v>
      </c>
      <c r="I25" s="4" t="s">
        <v>22</v>
      </c>
      <c r="J25" s="8" t="s">
        <v>23</v>
      </c>
      <c r="K25" s="6" t="s">
        <v>31</v>
      </c>
      <c r="L25" s="4"/>
    </row>
    <row r="26" spans="1:12" x14ac:dyDescent="0.35">
      <c r="A26" s="2" t="s">
        <v>148</v>
      </c>
      <c r="B26" s="2" t="s">
        <v>138</v>
      </c>
      <c r="C26" s="8" t="s">
        <v>126</v>
      </c>
      <c r="D26" s="2" t="s">
        <v>149</v>
      </c>
      <c r="E26" s="4" t="s">
        <v>150</v>
      </c>
      <c r="F26" s="4" t="s">
        <v>151</v>
      </c>
      <c r="G26" s="4" t="s">
        <v>29</v>
      </c>
      <c r="H26" s="4" t="s">
        <v>147</v>
      </c>
      <c r="I26" s="4" t="s">
        <v>22</v>
      </c>
      <c r="J26" s="8" t="s">
        <v>23</v>
      </c>
      <c r="K26" s="6" t="s">
        <v>31</v>
      </c>
      <c r="L26" s="4"/>
    </row>
    <row r="27" spans="1:12" ht="29" customHeight="1" x14ac:dyDescent="0.35">
      <c r="A27" s="2" t="s">
        <v>152</v>
      </c>
      <c r="B27" s="2" t="s">
        <v>153</v>
      </c>
      <c r="C27" s="8" t="s">
        <v>126</v>
      </c>
      <c r="D27" s="2" t="s">
        <v>154</v>
      </c>
      <c r="E27" s="4" t="s">
        <v>118</v>
      </c>
      <c r="F27" s="4" t="s">
        <v>155</v>
      </c>
      <c r="G27" s="4" t="s">
        <v>29</v>
      </c>
      <c r="H27" s="4" t="s">
        <v>156</v>
      </c>
      <c r="I27" s="4" t="s">
        <v>22</v>
      </c>
      <c r="J27" s="8" t="s">
        <v>23</v>
      </c>
      <c r="K27" s="6" t="s">
        <v>31</v>
      </c>
      <c r="L27" s="4" t="s">
        <v>157</v>
      </c>
    </row>
    <row r="28" spans="1:12" x14ac:dyDescent="0.35">
      <c r="A28" s="2" t="s">
        <v>158</v>
      </c>
      <c r="B28" s="2" t="s">
        <v>153</v>
      </c>
      <c r="C28" s="8" t="s">
        <v>126</v>
      </c>
      <c r="D28" s="2" t="s">
        <v>159</v>
      </c>
      <c r="E28" s="4" t="s">
        <v>99</v>
      </c>
      <c r="F28" s="4" t="s">
        <v>160</v>
      </c>
      <c r="G28" s="4" t="s">
        <v>29</v>
      </c>
      <c r="H28" s="4" t="s">
        <v>161</v>
      </c>
      <c r="I28" s="4" t="s">
        <v>22</v>
      </c>
      <c r="J28" s="8" t="s">
        <v>23</v>
      </c>
      <c r="K28" s="7" t="s">
        <v>123</v>
      </c>
      <c r="L28" s="4"/>
    </row>
    <row r="29" spans="1:12" ht="58" customHeight="1" x14ac:dyDescent="0.35">
      <c r="A29" s="2" t="s">
        <v>162</v>
      </c>
      <c r="B29" s="2" t="s">
        <v>163</v>
      </c>
      <c r="C29" s="8" t="s">
        <v>126</v>
      </c>
      <c r="D29" s="2" t="s">
        <v>164</v>
      </c>
      <c r="E29" s="4" t="s">
        <v>99</v>
      </c>
      <c r="F29" s="4" t="s">
        <v>165</v>
      </c>
      <c r="G29" s="4" t="s">
        <v>29</v>
      </c>
      <c r="H29" s="4" t="s">
        <v>166</v>
      </c>
      <c r="I29" s="4" t="s">
        <v>22</v>
      </c>
      <c r="J29" s="8" t="s">
        <v>23</v>
      </c>
      <c r="K29" s="5" t="s">
        <v>24</v>
      </c>
      <c r="L29" s="4"/>
    </row>
    <row r="30" spans="1:12" ht="43.5" customHeight="1" x14ac:dyDescent="0.35">
      <c r="A30" s="2" t="s">
        <v>167</v>
      </c>
      <c r="B30" s="2" t="s">
        <v>168</v>
      </c>
      <c r="C30" s="8" t="s">
        <v>126</v>
      </c>
      <c r="D30" s="2" t="s">
        <v>169</v>
      </c>
      <c r="E30" s="4" t="s">
        <v>99</v>
      </c>
      <c r="F30" s="4" t="s">
        <v>170</v>
      </c>
      <c r="G30" s="4" t="s">
        <v>29</v>
      </c>
      <c r="H30" s="4" t="s">
        <v>171</v>
      </c>
      <c r="I30" s="4" t="s">
        <v>22</v>
      </c>
      <c r="J30" s="8" t="s">
        <v>23</v>
      </c>
      <c r="K30" s="5" t="s">
        <v>24</v>
      </c>
      <c r="L30" s="4"/>
    </row>
    <row r="31" spans="1:12" ht="58" customHeight="1" x14ac:dyDescent="0.35">
      <c r="A31" s="2" t="s">
        <v>172</v>
      </c>
      <c r="B31" s="2" t="s">
        <v>173</v>
      </c>
      <c r="C31" s="9" t="s">
        <v>174</v>
      </c>
      <c r="D31" s="2" t="s">
        <v>175</v>
      </c>
      <c r="E31" s="4" t="s">
        <v>176</v>
      </c>
      <c r="F31" s="4" t="s">
        <v>177</v>
      </c>
      <c r="G31" s="4" t="s">
        <v>178</v>
      </c>
      <c r="H31" s="4" t="s">
        <v>179</v>
      </c>
      <c r="I31" s="4" t="s">
        <v>180</v>
      </c>
      <c r="J31" s="10" t="s">
        <v>122</v>
      </c>
      <c r="K31" s="5" t="s">
        <v>24</v>
      </c>
      <c r="L31" s="4"/>
    </row>
    <row r="32" spans="1:12" ht="43.5" customHeight="1" x14ac:dyDescent="0.35">
      <c r="A32" s="2" t="s">
        <v>181</v>
      </c>
      <c r="B32" s="2" t="s">
        <v>173</v>
      </c>
      <c r="C32" s="9" t="s">
        <v>174</v>
      </c>
      <c r="D32" s="2" t="s">
        <v>182</v>
      </c>
      <c r="E32" s="4" t="s">
        <v>176</v>
      </c>
      <c r="F32" s="4" t="s">
        <v>183</v>
      </c>
      <c r="G32" s="4" t="s">
        <v>29</v>
      </c>
      <c r="H32" s="4" t="s">
        <v>184</v>
      </c>
      <c r="I32" s="4" t="s">
        <v>22</v>
      </c>
      <c r="J32" s="8" t="s">
        <v>23</v>
      </c>
      <c r="K32" s="6" t="s">
        <v>31</v>
      </c>
      <c r="L32" s="4"/>
    </row>
    <row r="33" spans="1:12" ht="43.5" customHeight="1" x14ac:dyDescent="0.35">
      <c r="A33" s="2" t="s">
        <v>185</v>
      </c>
      <c r="B33" s="2" t="s">
        <v>173</v>
      </c>
      <c r="C33" s="9" t="s">
        <v>174</v>
      </c>
      <c r="D33" s="2" t="s">
        <v>186</v>
      </c>
      <c r="E33" s="4" t="s">
        <v>176</v>
      </c>
      <c r="F33" s="4" t="s">
        <v>187</v>
      </c>
      <c r="G33" s="4" t="s">
        <v>29</v>
      </c>
      <c r="H33" s="4" t="s">
        <v>188</v>
      </c>
      <c r="I33" s="4" t="s">
        <v>22</v>
      </c>
      <c r="J33" s="8" t="s">
        <v>23</v>
      </c>
      <c r="K33" s="6" t="s">
        <v>31</v>
      </c>
      <c r="L33" s="4"/>
    </row>
    <row r="34" spans="1:12" ht="43.5" customHeight="1" x14ac:dyDescent="0.35">
      <c r="A34" s="2" t="s">
        <v>189</v>
      </c>
      <c r="B34" s="2" t="s">
        <v>173</v>
      </c>
      <c r="C34" s="9" t="s">
        <v>174</v>
      </c>
      <c r="D34" s="2" t="s">
        <v>190</v>
      </c>
      <c r="E34" s="4" t="s">
        <v>176</v>
      </c>
      <c r="F34" s="4" t="s">
        <v>191</v>
      </c>
      <c r="G34" s="4" t="s">
        <v>29</v>
      </c>
      <c r="H34" s="4" t="s">
        <v>184</v>
      </c>
      <c r="I34" s="4" t="s">
        <v>22</v>
      </c>
      <c r="J34" s="8" t="s">
        <v>23</v>
      </c>
      <c r="K34" s="6" t="s">
        <v>31</v>
      </c>
      <c r="L34" s="4"/>
    </row>
    <row r="35" spans="1:12" ht="58" customHeight="1" x14ac:dyDescent="0.35">
      <c r="A35" s="2" t="s">
        <v>192</v>
      </c>
      <c r="B35" s="2" t="s">
        <v>193</v>
      </c>
      <c r="C35" s="9" t="s">
        <v>174</v>
      </c>
      <c r="D35" s="2" t="s">
        <v>194</v>
      </c>
      <c r="E35" s="4" t="s">
        <v>195</v>
      </c>
      <c r="F35" s="4" t="s">
        <v>196</v>
      </c>
      <c r="G35" s="4" t="s">
        <v>29</v>
      </c>
      <c r="H35" s="4" t="s">
        <v>197</v>
      </c>
      <c r="I35" s="4" t="s">
        <v>198</v>
      </c>
      <c r="J35" s="10" t="s">
        <v>122</v>
      </c>
      <c r="K35" s="5" t="s">
        <v>24</v>
      </c>
      <c r="L35" s="4"/>
    </row>
    <row r="36" spans="1:12" ht="43.5" customHeight="1" x14ac:dyDescent="0.35">
      <c r="A36" s="2" t="s">
        <v>199</v>
      </c>
      <c r="B36" s="2" t="s">
        <v>200</v>
      </c>
      <c r="C36" s="9" t="s">
        <v>174</v>
      </c>
      <c r="D36" s="2" t="s">
        <v>201</v>
      </c>
      <c r="E36" s="4" t="s">
        <v>202</v>
      </c>
      <c r="F36" s="4" t="s">
        <v>203</v>
      </c>
      <c r="G36" s="4" t="s">
        <v>204</v>
      </c>
      <c r="H36" s="4" t="s">
        <v>205</v>
      </c>
      <c r="I36" s="4" t="s">
        <v>22</v>
      </c>
      <c r="J36" s="8" t="s">
        <v>23</v>
      </c>
      <c r="K36" s="6" t="s">
        <v>31</v>
      </c>
      <c r="L36" s="4"/>
    </row>
    <row r="37" spans="1:12" ht="43.5" customHeight="1" x14ac:dyDescent="0.35">
      <c r="A37" s="2" t="s">
        <v>206</v>
      </c>
      <c r="B37" s="2" t="s">
        <v>163</v>
      </c>
      <c r="C37" s="9" t="s">
        <v>174</v>
      </c>
      <c r="D37" s="2" t="s">
        <v>207</v>
      </c>
      <c r="E37" s="4" t="s">
        <v>208</v>
      </c>
      <c r="F37" s="4" t="s">
        <v>209</v>
      </c>
      <c r="G37" s="4" t="s">
        <v>29</v>
      </c>
      <c r="H37" s="4" t="s">
        <v>210</v>
      </c>
      <c r="I37" s="4" t="s">
        <v>211</v>
      </c>
      <c r="J37" s="10" t="s">
        <v>122</v>
      </c>
      <c r="K37" s="6" t="s">
        <v>31</v>
      </c>
      <c r="L37" s="4"/>
    </row>
    <row r="38" spans="1:12" ht="29" customHeight="1" x14ac:dyDescent="0.35">
      <c r="A38" s="2" t="s">
        <v>212</v>
      </c>
      <c r="B38" s="2" t="s">
        <v>213</v>
      </c>
      <c r="C38" s="10" t="s">
        <v>214</v>
      </c>
      <c r="D38" s="2" t="s">
        <v>215</v>
      </c>
      <c r="E38" s="4" t="s">
        <v>216</v>
      </c>
      <c r="F38" s="4" t="s">
        <v>217</v>
      </c>
      <c r="G38" s="4" t="s">
        <v>29</v>
      </c>
      <c r="H38" s="4" t="s">
        <v>218</v>
      </c>
      <c r="I38" s="4" t="s">
        <v>22</v>
      </c>
      <c r="J38" s="8" t="s">
        <v>23</v>
      </c>
      <c r="K38" s="5" t="s">
        <v>24</v>
      </c>
      <c r="L38" s="4"/>
    </row>
    <row r="39" spans="1:12" ht="43.5" customHeight="1" x14ac:dyDescent="0.35">
      <c r="A39" s="2" t="s">
        <v>219</v>
      </c>
      <c r="B39" s="2" t="s">
        <v>70</v>
      </c>
      <c r="C39" s="10" t="s">
        <v>214</v>
      </c>
      <c r="D39" s="2" t="s">
        <v>220</v>
      </c>
      <c r="E39" s="4" t="s">
        <v>221</v>
      </c>
      <c r="F39" s="4" t="s">
        <v>294</v>
      </c>
      <c r="G39" s="4" t="s">
        <v>222</v>
      </c>
      <c r="H39" s="4" t="s">
        <v>223</v>
      </c>
      <c r="I39" s="4" t="s">
        <v>22</v>
      </c>
      <c r="J39" s="8" t="s">
        <v>23</v>
      </c>
      <c r="K39" s="5" t="s">
        <v>24</v>
      </c>
      <c r="L39" s="4" t="s">
        <v>224</v>
      </c>
    </row>
    <row r="40" spans="1:12" ht="43.5" customHeight="1" x14ac:dyDescent="0.35">
      <c r="A40" s="2" t="s">
        <v>225</v>
      </c>
      <c r="B40" s="2" t="s">
        <v>70</v>
      </c>
      <c r="C40" s="10" t="s">
        <v>214</v>
      </c>
      <c r="D40" s="2" t="s">
        <v>226</v>
      </c>
      <c r="E40" s="4" t="s">
        <v>227</v>
      </c>
      <c r="F40" s="4" t="s">
        <v>228</v>
      </c>
      <c r="G40" s="4" t="s">
        <v>229</v>
      </c>
      <c r="H40" s="4" t="s">
        <v>230</v>
      </c>
      <c r="I40" s="4" t="s">
        <v>22</v>
      </c>
      <c r="J40" s="8" t="s">
        <v>23</v>
      </c>
      <c r="K40" s="5" t="s">
        <v>24</v>
      </c>
      <c r="L40" s="4"/>
    </row>
    <row r="41" spans="1:12" ht="72.5" customHeight="1" x14ac:dyDescent="0.35">
      <c r="A41" s="2" t="s">
        <v>231</v>
      </c>
      <c r="B41" s="2" t="s">
        <v>232</v>
      </c>
      <c r="C41" s="10" t="s">
        <v>214</v>
      </c>
      <c r="D41" s="2" t="s">
        <v>233</v>
      </c>
      <c r="E41" s="4" t="s">
        <v>234</v>
      </c>
      <c r="F41" s="4" t="s">
        <v>235</v>
      </c>
      <c r="G41" s="4" t="s">
        <v>236</v>
      </c>
      <c r="H41" s="4" t="s">
        <v>237</v>
      </c>
      <c r="I41" s="4" t="s">
        <v>238</v>
      </c>
      <c r="J41" s="10" t="s">
        <v>122</v>
      </c>
      <c r="K41" s="5" t="s">
        <v>24</v>
      </c>
      <c r="L41" s="4"/>
    </row>
    <row r="42" spans="1:12" ht="29" customHeight="1" x14ac:dyDescent="0.35">
      <c r="A42" s="2" t="s">
        <v>239</v>
      </c>
      <c r="B42" s="2" t="s">
        <v>240</v>
      </c>
      <c r="C42" s="10" t="s">
        <v>214</v>
      </c>
      <c r="D42" s="2" t="s">
        <v>241</v>
      </c>
      <c r="E42" s="4" t="s">
        <v>242</v>
      </c>
      <c r="F42" s="4" t="s">
        <v>243</v>
      </c>
      <c r="G42" s="4" t="s">
        <v>244</v>
      </c>
      <c r="H42" s="4" t="s">
        <v>245</v>
      </c>
      <c r="I42" s="4" t="s">
        <v>22</v>
      </c>
      <c r="J42" s="8" t="s">
        <v>23</v>
      </c>
      <c r="K42" s="5" t="s">
        <v>24</v>
      </c>
      <c r="L42" s="4" t="s">
        <v>246</v>
      </c>
    </row>
    <row r="43" spans="1:12" ht="29" customHeight="1" x14ac:dyDescent="0.35">
      <c r="A43" s="2" t="s">
        <v>247</v>
      </c>
      <c r="B43" s="2" t="s">
        <v>248</v>
      </c>
      <c r="C43" s="10" t="s">
        <v>214</v>
      </c>
      <c r="D43" s="2" t="s">
        <v>249</v>
      </c>
      <c r="E43" s="4" t="s">
        <v>242</v>
      </c>
      <c r="F43" s="4" t="s">
        <v>250</v>
      </c>
      <c r="G43" s="4" t="s">
        <v>29</v>
      </c>
      <c r="H43" s="4" t="s">
        <v>251</v>
      </c>
      <c r="I43" s="4" t="s">
        <v>22</v>
      </c>
      <c r="J43" s="8" t="s">
        <v>23</v>
      </c>
      <c r="K43" s="5" t="s">
        <v>24</v>
      </c>
      <c r="L43" s="4" t="s">
        <v>252</v>
      </c>
    </row>
    <row r="44" spans="1:12" ht="29" customHeight="1" x14ac:dyDescent="0.35">
      <c r="A44" s="2" t="s">
        <v>253</v>
      </c>
      <c r="B44" s="2" t="s">
        <v>254</v>
      </c>
      <c r="C44" s="10" t="s">
        <v>214</v>
      </c>
      <c r="D44" s="2" t="s">
        <v>255</v>
      </c>
      <c r="E44" s="4" t="s">
        <v>256</v>
      </c>
      <c r="F44" s="4" t="s">
        <v>257</v>
      </c>
      <c r="G44" s="4" t="s">
        <v>258</v>
      </c>
      <c r="H44" s="4" t="s">
        <v>259</v>
      </c>
      <c r="I44" s="4" t="s">
        <v>22</v>
      </c>
      <c r="J44" s="8" t="s">
        <v>23</v>
      </c>
      <c r="K44" s="5" t="s">
        <v>24</v>
      </c>
      <c r="L44" s="4"/>
    </row>
    <row r="45" spans="1:12" ht="58" customHeight="1" x14ac:dyDescent="0.35">
      <c r="A45" s="2" t="s">
        <v>260</v>
      </c>
      <c r="B45" s="2" t="s">
        <v>261</v>
      </c>
      <c r="C45" s="10" t="s">
        <v>214</v>
      </c>
      <c r="D45" s="2" t="s">
        <v>262</v>
      </c>
      <c r="E45" s="4" t="s">
        <v>263</v>
      </c>
      <c r="F45" s="4" t="s">
        <v>264</v>
      </c>
      <c r="G45" s="4" t="s">
        <v>29</v>
      </c>
      <c r="H45" s="4" t="s">
        <v>265</v>
      </c>
      <c r="I45" s="4" t="s">
        <v>266</v>
      </c>
      <c r="J45" s="10" t="s">
        <v>122</v>
      </c>
      <c r="K45" s="5" t="s">
        <v>24</v>
      </c>
      <c r="L45" s="4"/>
    </row>
    <row r="46" spans="1:12" ht="29" customHeight="1" x14ac:dyDescent="0.35">
      <c r="A46" s="2" t="s">
        <v>267</v>
      </c>
      <c r="B46" s="2" t="s">
        <v>268</v>
      </c>
      <c r="C46" s="10" t="s">
        <v>214</v>
      </c>
      <c r="D46" s="2" t="s">
        <v>269</v>
      </c>
      <c r="E46" s="4" t="s">
        <v>270</v>
      </c>
      <c r="F46" s="4" t="s">
        <v>271</v>
      </c>
      <c r="G46" s="4" t="s">
        <v>272</v>
      </c>
      <c r="H46" s="4" t="s">
        <v>273</v>
      </c>
      <c r="I46" s="4" t="s">
        <v>22</v>
      </c>
      <c r="J46" s="8" t="s">
        <v>23</v>
      </c>
      <c r="K46" s="6" t="s">
        <v>31</v>
      </c>
      <c r="L46" s="4"/>
    </row>
    <row r="47" spans="1:12" ht="43.5" customHeight="1" x14ac:dyDescent="0.35">
      <c r="A47" s="2" t="s">
        <v>274</v>
      </c>
      <c r="B47" s="2" t="s">
        <v>275</v>
      </c>
      <c r="C47" s="10" t="s">
        <v>214</v>
      </c>
      <c r="D47" s="2" t="s">
        <v>276</v>
      </c>
      <c r="E47" s="4" t="s">
        <v>277</v>
      </c>
      <c r="F47" s="4" t="s">
        <v>278</v>
      </c>
      <c r="G47" s="4" t="s">
        <v>29</v>
      </c>
      <c r="H47" s="4" t="s">
        <v>279</v>
      </c>
      <c r="I47" s="4" t="s">
        <v>22</v>
      </c>
      <c r="J47" s="8" t="s">
        <v>23</v>
      </c>
      <c r="K47" s="5" t="s">
        <v>24</v>
      </c>
      <c r="L47" s="4"/>
    </row>
    <row r="48" spans="1:12" ht="43.5" customHeight="1" x14ac:dyDescent="0.35">
      <c r="A48" s="2" t="s">
        <v>280</v>
      </c>
      <c r="B48" s="2" t="s">
        <v>281</v>
      </c>
      <c r="C48" s="10" t="s">
        <v>214</v>
      </c>
      <c r="D48" s="2" t="s">
        <v>282</v>
      </c>
      <c r="E48" s="4" t="s">
        <v>283</v>
      </c>
      <c r="F48" s="4" t="s">
        <v>284</v>
      </c>
      <c r="G48" s="4" t="s">
        <v>204</v>
      </c>
      <c r="H48" s="4" t="s">
        <v>285</v>
      </c>
      <c r="I48" s="4" t="s">
        <v>22</v>
      </c>
      <c r="J48" s="8" t="s">
        <v>23</v>
      </c>
      <c r="K48" s="6" t="s">
        <v>31</v>
      </c>
      <c r="L48" s="4"/>
    </row>
  </sheetData>
  <autoFilter ref="A3:L48" xr:uid="{00000000-0009-0000-0000-000000000000}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5" x14ac:dyDescent="0.35"/>
  <cols>
    <col min="1" max="1" width="18" customWidth="1"/>
    <col min="2" max="4" width="12" customWidth="1"/>
  </cols>
  <sheetData>
    <row r="1" spans="1:4" ht="28" customHeight="1" x14ac:dyDescent="0.35">
      <c r="A1" s="16" t="s">
        <v>286</v>
      </c>
      <c r="B1" s="15"/>
      <c r="C1" s="15"/>
      <c r="D1" s="15"/>
    </row>
    <row r="2" spans="1:4" x14ac:dyDescent="0.35">
      <c r="A2" s="1" t="s">
        <v>4</v>
      </c>
      <c r="B2" s="1" t="s">
        <v>287</v>
      </c>
      <c r="C2" s="1" t="s">
        <v>288</v>
      </c>
      <c r="D2" s="1" t="s">
        <v>289</v>
      </c>
    </row>
    <row r="3" spans="1:4" x14ac:dyDescent="0.35">
      <c r="A3" s="3" t="s">
        <v>16</v>
      </c>
      <c r="B3" s="2">
        <f>COUNTIF('Test Cases'!C:C,"Functional")</f>
        <v>18</v>
      </c>
      <c r="C3" s="2">
        <f>COUNTIFS('Test Cases'!C:C,"Functional",'Test Cases'!J:J,"Pass")</f>
        <v>17</v>
      </c>
      <c r="D3" s="2">
        <f>COUNTIFS('Test Cases'!C:C,"Functional",'Test Cases'!J:J,"Fail")</f>
        <v>1</v>
      </c>
    </row>
    <row r="4" spans="1:4" x14ac:dyDescent="0.35">
      <c r="A4" s="8" t="s">
        <v>126</v>
      </c>
      <c r="B4" s="2">
        <f>COUNTIF('Test Cases'!C:C,"UI/UX")</f>
        <v>9</v>
      </c>
      <c r="C4" s="2">
        <f>COUNTIFS('Test Cases'!C:C,"UI/UX",'Test Cases'!J:J,"Pass")</f>
        <v>9</v>
      </c>
      <c r="D4" s="2">
        <f>COUNTIFS('Test Cases'!C:C,"UI/UX",'Test Cases'!J:J,"Fail")</f>
        <v>0</v>
      </c>
    </row>
    <row r="5" spans="1:4" x14ac:dyDescent="0.35">
      <c r="A5" s="9" t="s">
        <v>174</v>
      </c>
      <c r="B5" s="2">
        <f>COUNTIF('Test Cases'!C:C,"Performance")</f>
        <v>7</v>
      </c>
      <c r="C5" s="2">
        <f>COUNTIFS('Test Cases'!C:C,"Performance",'Test Cases'!J:J,"Pass")</f>
        <v>4</v>
      </c>
      <c r="D5" s="2">
        <f>COUNTIFS('Test Cases'!C:C,"Performance",'Test Cases'!J:J,"Fail")</f>
        <v>3</v>
      </c>
    </row>
    <row r="6" spans="1:4" x14ac:dyDescent="0.35">
      <c r="A6" s="10" t="s">
        <v>214</v>
      </c>
      <c r="B6" s="2">
        <f>COUNTIF('Test Cases'!C:C,"Security")</f>
        <v>11</v>
      </c>
      <c r="C6" s="2">
        <f>COUNTIFS('Test Cases'!C:C,"Security",'Test Cases'!J:J,"Pass")</f>
        <v>9</v>
      </c>
      <c r="D6" s="2">
        <f>COUNTIFS('Test Cases'!C:C,"Security",'Test Cases'!J:J,"Fail")</f>
        <v>2</v>
      </c>
    </row>
    <row r="7" spans="1:4" x14ac:dyDescent="0.35">
      <c r="A7" s="11" t="s">
        <v>290</v>
      </c>
      <c r="B7" s="12">
        <f>SUM(B3:B6)</f>
        <v>45</v>
      </c>
      <c r="C7" s="12">
        <f>SUM(C3:C6)</f>
        <v>39</v>
      </c>
      <c r="D7" s="12">
        <f>SUM(D3:D6)</f>
        <v>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Inam Khan</cp:lastModifiedBy>
  <dcterms:created xsi:type="dcterms:W3CDTF">2026-05-20T18:24:21Z</dcterms:created>
  <dcterms:modified xsi:type="dcterms:W3CDTF">2026-05-21T14:39:16Z</dcterms:modified>
</cp:coreProperties>
</file>