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A:\Testing Project\"/>
    </mc:Choice>
  </mc:AlternateContent>
  <xr:revisionPtr revIDLastSave="0" documentId="13_ncr:1_{1C75B800-95B9-4C98-A25D-712C867C408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Bug Reports" sheetId="1" r:id="rId1"/>
    <sheet name="Bug Summary" sheetId="2" r:id="rId2"/>
  </sheets>
  <definedNames>
    <definedName name="_xlnm._FilterDatabase" localSheetId="0" hidden="1">'Bug Reports'!$A$3:$J$53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B6" i="2"/>
  <c r="C5" i="2"/>
  <c r="B5" i="2"/>
  <c r="C4" i="2"/>
  <c r="B4" i="2"/>
  <c r="C3" i="2"/>
  <c r="B3" i="2"/>
</calcChain>
</file>

<file path=xl/sharedStrings.xml><?xml version="1.0" encoding="utf-8"?>
<sst xmlns="http://schemas.openxmlformats.org/spreadsheetml/2006/main" count="80" uniqueCount="61">
  <si>
    <t>Inam Restaurant Website - Bug Report Log</t>
  </si>
  <si>
    <t>Bug ID</t>
  </si>
  <si>
    <t>Date Reported</t>
  </si>
  <si>
    <t>Module/Page</t>
  </si>
  <si>
    <t>Bug Title</t>
  </si>
  <si>
    <t>Severity</t>
  </si>
  <si>
    <t>Priority</t>
  </si>
  <si>
    <t>Steps to Reproduce</t>
  </si>
  <si>
    <t>Expected Result</t>
  </si>
  <si>
    <t>Actual Result</t>
  </si>
  <si>
    <t>Environment</t>
  </si>
  <si>
    <t>Status</t>
  </si>
  <si>
    <t>BUG-001</t>
  </si>
  <si>
    <t>2026-05-21</t>
  </si>
  <si>
    <t>Footer / Social Links</t>
  </si>
  <si>
    <t>Social media links open in the same tab</t>
  </si>
  <si>
    <t>Low</t>
  </si>
  <si>
    <t>Medium</t>
  </si>
  <si>
    <t>1. Open home page
2. Scroll to footer
3. Click any social media icon</t>
  </si>
  <si>
    <t>Social media link opens in a NEW tab (target="_blank") so the user stays on the site</t>
  </si>
  <si>
    <t>Link opens in the SAME tab, user is navigated away from the restaurant site</t>
  </si>
  <si>
    <t>Chrome / Desktop</t>
  </si>
  <si>
    <t>Open</t>
  </si>
  <si>
    <t>BUG-002</t>
  </si>
  <si>
    <t>Home Page / Overall</t>
  </si>
  <si>
    <t>Lighthouse Performance score is below acceptable threshold</t>
  </si>
  <si>
    <t>High</t>
  </si>
  <si>
    <t>1. Open Chrome DevTools (F12)
2. Go to Lighthouse tab
3. Select Performance + Mobile
4. Click 'Analyze page load'</t>
  </si>
  <si>
    <t>Performance score &gt;= 70 (target 90)</t>
  </si>
  <si>
    <t>Performance score = 68 (Screenshot path: &lt;to be attached&gt;)</t>
  </si>
  <si>
    <t>Chrome Lighthouse / Mobile</t>
  </si>
  <si>
    <t>BUG-003</t>
  </si>
  <si>
    <t>Page load time exceeds acceptable limit</t>
  </si>
  <si>
    <t>1. Open Chrome DevTools → Network tab
2. Disable cache
3. Reload page
4. Observe 'Load' time at the bottom</t>
  </si>
  <si>
    <t>Page should fully load in under 3 seconds</t>
  </si>
  <si>
    <t>Page takes approximately 5 seconds to fully load</t>
  </si>
  <si>
    <t>Chrome / Desktop / Broadband</t>
  </si>
  <si>
    <t>BUG-004</t>
  </si>
  <si>
    <t>Menu / Images</t>
  </si>
  <si>
    <t>Images are not optimized — file size too large</t>
  </si>
  <si>
    <t>1. DevTools → Network tab
2. Filter by 'Img'
3. Reload page
4. Check size column of each image</t>
  </si>
  <si>
    <t>Each image should be under ~500 KB; use compressed JPG / WebP format</t>
  </si>
  <si>
    <t>Images are around 2000 KB (~2 MB) each — extremely heavy</t>
  </si>
  <si>
    <t>BUG-005</t>
  </si>
  <si>
    <t>URL Routing / Category</t>
  </si>
  <si>
    <t>Invalid category URL exposes Django debug error page</t>
  </si>
  <si>
    <t>Critical</t>
  </si>
  <si>
    <t>1. Open browser
2. Navigate to https://inam0980.pythonanywhere.com/category/9999/ (or /category/abc/)</t>
  </si>
  <si>
    <t>Friendly 404 / 'Category not found' page</t>
  </si>
  <si>
    <t>Actual Django debug traceback / code error page is shown — leaks source code, file paths and stack trace</t>
  </si>
  <si>
    <t>Browser / Production</t>
  </si>
  <si>
    <t>BUG-006</t>
  </si>
  <si>
    <t>Forms / Security</t>
  </si>
  <si>
    <t>CSRF token missing from forms</t>
  </si>
  <si>
    <t>1. Open any form page (e.g. Login, Contact)
2. Right-click → View Page Source
3. Search for 'csrfmiddlewaretoken'</t>
  </si>
  <si>
    <t>Every POST form must include a hidden csrfmiddlewaretoken field</t>
  </si>
  <si>
    <t>CSRF token is NOT present in form HTML</t>
  </si>
  <si>
    <t>Browser / All pages with forms</t>
  </si>
  <si>
    <t>Bug Summary by Severity</t>
  </si>
  <si>
    <t>Total</t>
  </si>
  <si>
    <t>URL: https://inam0980.pythonanywhere.com/   |   Tester: __Inam Khan__________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</si>
</sst>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b/>
      <sz val="11"/>
      <color rgb="FFFFFFF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305496"/>
      </patternFill>
    </fill>
    <fill>
      <patternFill patternType="solid">
        <fgColor rgb="FFED7D31"/>
      </patternFill>
    </fill>
    <fill>
      <patternFill patternType="solid">
        <fgColor rgb="FFBF8F00"/>
      </patternFill>
    </fill>
    <fill>
      <patternFill patternType="solid">
        <fgColor rgb="FF548235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abSelected="1" zoomScale="168" workbookViewId="0">
      <pane ySplit="3" topLeftCell="A4" activePane="bottomLeft" state="frozen"/>
      <selection pane="bottomLeft" activeCell="A2" sqref="A2:J2"/>
    </sheetView>
  </sheetViews>
  <sheetFormatPr defaultRowHeight="14.5" x14ac:dyDescent="0.35"/>
  <cols>
    <col min="1" max="1" width="10" customWidth="1"/>
    <col min="2" max="2" width="14" customWidth="1"/>
    <col min="3" max="3" width="18" customWidth="1"/>
    <col min="4" max="4" width="32" customWidth="1"/>
    <col min="5" max="5" width="12" customWidth="1"/>
    <col min="6" max="6" width="40" customWidth="1"/>
    <col min="7" max="8" width="28" customWidth="1"/>
    <col min="9" max="9" width="20" customWidth="1"/>
    <col min="10" max="10" width="14" customWidth="1"/>
  </cols>
  <sheetData>
    <row r="1" spans="1:10" ht="30" customHeight="1" x14ac:dyDescent="0.35">
      <c r="A1" s="10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20" customHeight="1" x14ac:dyDescent="0.35">
      <c r="A2" s="8" t="s">
        <v>60</v>
      </c>
      <c r="B2" s="9"/>
      <c r="C2" s="9"/>
      <c r="D2" s="9"/>
      <c r="E2" s="9"/>
      <c r="F2" s="9"/>
      <c r="G2" s="9"/>
      <c r="H2" s="9"/>
      <c r="I2" s="9"/>
      <c r="J2" s="9"/>
    </row>
    <row r="3" spans="1:10" ht="28" customHeight="1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</row>
    <row r="4" spans="1:10" ht="90" customHeight="1" x14ac:dyDescent="0.35">
      <c r="A4" s="2" t="s">
        <v>12</v>
      </c>
      <c r="B4" s="2" t="s">
        <v>13</v>
      </c>
      <c r="C4" s="2" t="s">
        <v>14</v>
      </c>
      <c r="D4" s="3" t="s">
        <v>15</v>
      </c>
      <c r="E4" s="2" t="s">
        <v>17</v>
      </c>
      <c r="F4" s="3" t="s">
        <v>18</v>
      </c>
      <c r="G4" s="3" t="s">
        <v>19</v>
      </c>
      <c r="H4" s="3" t="s">
        <v>20</v>
      </c>
      <c r="I4" s="2" t="s">
        <v>21</v>
      </c>
      <c r="J4" s="4" t="s">
        <v>22</v>
      </c>
    </row>
    <row r="5" spans="1:10" ht="90" customHeight="1" x14ac:dyDescent="0.35">
      <c r="A5" s="2" t="s">
        <v>23</v>
      </c>
      <c r="B5" s="2" t="s">
        <v>13</v>
      </c>
      <c r="C5" s="2" t="s">
        <v>24</v>
      </c>
      <c r="D5" s="3" t="s">
        <v>25</v>
      </c>
      <c r="E5" s="2" t="s">
        <v>26</v>
      </c>
      <c r="F5" s="3" t="s">
        <v>27</v>
      </c>
      <c r="G5" s="3" t="s">
        <v>28</v>
      </c>
      <c r="H5" s="3" t="s">
        <v>29</v>
      </c>
      <c r="I5" s="2" t="s">
        <v>30</v>
      </c>
      <c r="J5" s="4" t="s">
        <v>22</v>
      </c>
    </row>
    <row r="6" spans="1:10" ht="90" customHeight="1" x14ac:dyDescent="0.35">
      <c r="A6" s="2" t="s">
        <v>31</v>
      </c>
      <c r="B6" s="2" t="s">
        <v>13</v>
      </c>
      <c r="C6" s="2" t="s">
        <v>24</v>
      </c>
      <c r="D6" s="3" t="s">
        <v>32</v>
      </c>
      <c r="E6" s="2" t="s">
        <v>26</v>
      </c>
      <c r="F6" s="3" t="s">
        <v>33</v>
      </c>
      <c r="G6" s="3" t="s">
        <v>34</v>
      </c>
      <c r="H6" s="3" t="s">
        <v>35</v>
      </c>
      <c r="I6" s="2" t="s">
        <v>36</v>
      </c>
      <c r="J6" s="4" t="s">
        <v>22</v>
      </c>
    </row>
    <row r="7" spans="1:10" ht="90" customHeight="1" x14ac:dyDescent="0.35">
      <c r="A7" s="2" t="s">
        <v>37</v>
      </c>
      <c r="B7" s="2" t="s">
        <v>13</v>
      </c>
      <c r="C7" s="2" t="s">
        <v>38</v>
      </c>
      <c r="D7" s="3" t="s">
        <v>39</v>
      </c>
      <c r="E7" s="2" t="s">
        <v>26</v>
      </c>
      <c r="F7" s="3" t="s">
        <v>40</v>
      </c>
      <c r="G7" s="3" t="s">
        <v>41</v>
      </c>
      <c r="H7" s="3" t="s">
        <v>42</v>
      </c>
      <c r="I7" s="2" t="s">
        <v>21</v>
      </c>
      <c r="J7" s="4" t="s">
        <v>22</v>
      </c>
    </row>
    <row r="8" spans="1:10" ht="90" customHeight="1" x14ac:dyDescent="0.35">
      <c r="A8" s="2" t="s">
        <v>43</v>
      </c>
      <c r="B8" s="2" t="s">
        <v>13</v>
      </c>
      <c r="C8" s="2" t="s">
        <v>44</v>
      </c>
      <c r="D8" s="3" t="s">
        <v>45</v>
      </c>
      <c r="E8" s="2" t="s">
        <v>26</v>
      </c>
      <c r="F8" s="3" t="s">
        <v>47</v>
      </c>
      <c r="G8" s="3" t="s">
        <v>48</v>
      </c>
      <c r="H8" s="3" t="s">
        <v>49</v>
      </c>
      <c r="I8" s="2" t="s">
        <v>50</v>
      </c>
      <c r="J8" s="4" t="s">
        <v>22</v>
      </c>
    </row>
    <row r="9" spans="1:10" ht="90" customHeight="1" x14ac:dyDescent="0.35">
      <c r="A9" s="2" t="s">
        <v>51</v>
      </c>
      <c r="B9" s="2" t="s">
        <v>13</v>
      </c>
      <c r="C9" s="2" t="s">
        <v>52</v>
      </c>
      <c r="D9" s="3" t="s">
        <v>53</v>
      </c>
      <c r="E9" s="2" t="s">
        <v>26</v>
      </c>
      <c r="F9" s="3" t="s">
        <v>54</v>
      </c>
      <c r="G9" s="3" t="s">
        <v>55</v>
      </c>
      <c r="H9" s="3" t="s">
        <v>56</v>
      </c>
      <c r="I9" s="2" t="s">
        <v>57</v>
      </c>
      <c r="J9" s="4" t="s">
        <v>22</v>
      </c>
    </row>
    <row r="10" spans="1:10" ht="60" customHeight="1" x14ac:dyDescent="0.35">
      <c r="A10" s="2"/>
      <c r="B10" s="2"/>
      <c r="C10" s="2"/>
      <c r="D10" s="3"/>
      <c r="E10" s="2"/>
      <c r="F10" s="3"/>
      <c r="G10" s="3"/>
      <c r="H10" s="3"/>
      <c r="I10" s="2"/>
      <c r="J10" s="2"/>
    </row>
    <row r="11" spans="1:10" ht="60" customHeight="1" x14ac:dyDescent="0.35">
      <c r="A11" s="2"/>
      <c r="B11" s="2"/>
      <c r="C11" s="2"/>
      <c r="D11" s="3"/>
      <c r="E11" s="2"/>
      <c r="F11" s="3"/>
      <c r="G11" s="3"/>
      <c r="H11" s="3"/>
      <c r="I11" s="2"/>
      <c r="J11" s="2"/>
    </row>
    <row r="12" spans="1:10" ht="60" customHeight="1" x14ac:dyDescent="0.35">
      <c r="A12" s="2"/>
      <c r="B12" s="2"/>
      <c r="C12" s="2"/>
      <c r="D12" s="3"/>
      <c r="E12" s="2"/>
      <c r="F12" s="3"/>
      <c r="G12" s="3"/>
      <c r="H12" s="3"/>
      <c r="I12" s="2"/>
      <c r="J12" s="2"/>
    </row>
    <row r="13" spans="1:10" ht="60" customHeight="1" x14ac:dyDescent="0.35">
      <c r="A13" s="2"/>
      <c r="B13" s="2"/>
      <c r="C13" s="2"/>
      <c r="D13" s="3"/>
      <c r="E13" s="2"/>
      <c r="F13" s="3"/>
      <c r="G13" s="3"/>
      <c r="H13" s="3"/>
      <c r="I13" s="2"/>
      <c r="J13" s="2"/>
    </row>
    <row r="14" spans="1:10" ht="60" customHeight="1" x14ac:dyDescent="0.35">
      <c r="A14" s="2"/>
      <c r="B14" s="2"/>
      <c r="C14" s="2"/>
      <c r="D14" s="3"/>
      <c r="E14" s="2"/>
      <c r="F14" s="3"/>
      <c r="G14" s="3"/>
      <c r="H14" s="3"/>
      <c r="I14" s="2"/>
      <c r="J14" s="2"/>
    </row>
    <row r="15" spans="1:10" ht="60" customHeight="1" x14ac:dyDescent="0.35">
      <c r="A15" s="2"/>
      <c r="B15" s="2"/>
      <c r="C15" s="2"/>
      <c r="D15" s="3"/>
      <c r="E15" s="2"/>
      <c r="F15" s="3"/>
      <c r="G15" s="3"/>
      <c r="H15" s="3"/>
      <c r="I15" s="2"/>
      <c r="J15" s="2"/>
    </row>
    <row r="16" spans="1:10" ht="60" customHeight="1" x14ac:dyDescent="0.35">
      <c r="A16" s="2"/>
      <c r="B16" s="2"/>
      <c r="C16" s="2"/>
      <c r="D16" s="3"/>
      <c r="E16" s="2"/>
      <c r="F16" s="3"/>
      <c r="G16" s="3"/>
      <c r="H16" s="3"/>
      <c r="I16" s="2"/>
      <c r="J16" s="2"/>
    </row>
    <row r="17" spans="1:10" ht="60" customHeight="1" x14ac:dyDescent="0.35">
      <c r="A17" s="2"/>
      <c r="B17" s="2"/>
      <c r="C17" s="2"/>
      <c r="D17" s="3"/>
      <c r="E17" s="2"/>
      <c r="F17" s="3"/>
      <c r="G17" s="3"/>
      <c r="H17" s="3"/>
      <c r="I17" s="2"/>
      <c r="J17" s="2"/>
    </row>
    <row r="18" spans="1:10" ht="60" customHeight="1" x14ac:dyDescent="0.35">
      <c r="A18" s="2"/>
      <c r="B18" s="2"/>
      <c r="C18" s="2"/>
      <c r="D18" s="3"/>
      <c r="E18" s="2"/>
      <c r="F18" s="3"/>
      <c r="G18" s="3"/>
      <c r="H18" s="3"/>
      <c r="I18" s="2"/>
      <c r="J18" s="2"/>
    </row>
    <row r="19" spans="1:10" ht="60" customHeight="1" x14ac:dyDescent="0.35">
      <c r="A19" s="2"/>
      <c r="B19" s="2"/>
      <c r="C19" s="2"/>
      <c r="D19" s="3"/>
      <c r="E19" s="2"/>
      <c r="F19" s="3"/>
      <c r="G19" s="3"/>
      <c r="H19" s="3"/>
      <c r="I19" s="2"/>
      <c r="J19" s="2"/>
    </row>
    <row r="20" spans="1:10" ht="60" customHeight="1" x14ac:dyDescent="0.35">
      <c r="A20" s="2"/>
      <c r="B20" s="2"/>
      <c r="C20" s="2"/>
      <c r="D20" s="3"/>
      <c r="E20" s="2"/>
      <c r="F20" s="3"/>
      <c r="G20" s="3"/>
      <c r="H20" s="3"/>
      <c r="I20" s="2"/>
      <c r="J20" s="2"/>
    </row>
    <row r="21" spans="1:10" ht="60" customHeight="1" x14ac:dyDescent="0.35">
      <c r="A21" s="2"/>
      <c r="B21" s="2"/>
      <c r="C21" s="2"/>
      <c r="D21" s="3"/>
      <c r="E21" s="2"/>
      <c r="F21" s="3"/>
      <c r="G21" s="3"/>
      <c r="H21" s="3"/>
      <c r="I21" s="2"/>
      <c r="J21" s="2"/>
    </row>
    <row r="22" spans="1:10" ht="60" customHeight="1" x14ac:dyDescent="0.35">
      <c r="A22" s="2"/>
      <c r="B22" s="2"/>
      <c r="C22" s="2"/>
      <c r="D22" s="3"/>
      <c r="E22" s="2"/>
      <c r="F22" s="3"/>
      <c r="G22" s="3"/>
      <c r="H22" s="3"/>
      <c r="I22" s="2"/>
      <c r="J22" s="2"/>
    </row>
    <row r="23" spans="1:10" ht="60" customHeight="1" x14ac:dyDescent="0.35">
      <c r="A23" s="2"/>
      <c r="B23" s="2"/>
      <c r="C23" s="2"/>
      <c r="D23" s="3"/>
      <c r="E23" s="2"/>
      <c r="F23" s="3"/>
      <c r="G23" s="3"/>
      <c r="H23" s="3"/>
      <c r="I23" s="2"/>
      <c r="J23" s="2"/>
    </row>
    <row r="24" spans="1:10" ht="60" customHeight="1" x14ac:dyDescent="0.35">
      <c r="A24" s="2"/>
      <c r="B24" s="2"/>
      <c r="C24" s="2"/>
      <c r="D24" s="3"/>
      <c r="E24" s="2"/>
      <c r="F24" s="3"/>
      <c r="G24" s="3"/>
      <c r="H24" s="3"/>
      <c r="I24" s="2"/>
      <c r="J24" s="2"/>
    </row>
    <row r="25" spans="1:10" ht="60" customHeight="1" x14ac:dyDescent="0.35">
      <c r="A25" s="2"/>
      <c r="B25" s="2"/>
      <c r="C25" s="2"/>
      <c r="D25" s="3"/>
      <c r="E25" s="2"/>
      <c r="F25" s="3"/>
      <c r="G25" s="3"/>
      <c r="H25" s="3"/>
      <c r="I25" s="2"/>
      <c r="J25" s="2"/>
    </row>
    <row r="26" spans="1:10" ht="60" customHeight="1" x14ac:dyDescent="0.35">
      <c r="A26" s="2"/>
      <c r="B26" s="2"/>
      <c r="C26" s="2"/>
      <c r="D26" s="3"/>
      <c r="E26" s="2"/>
      <c r="F26" s="3"/>
      <c r="G26" s="3"/>
      <c r="H26" s="3"/>
      <c r="I26" s="2"/>
      <c r="J26" s="2"/>
    </row>
    <row r="27" spans="1:10" ht="60" customHeight="1" x14ac:dyDescent="0.35">
      <c r="A27" s="2"/>
      <c r="B27" s="2"/>
      <c r="C27" s="2"/>
      <c r="D27" s="3"/>
      <c r="E27" s="2"/>
      <c r="F27" s="3"/>
      <c r="G27" s="3"/>
      <c r="H27" s="3"/>
      <c r="I27" s="2"/>
      <c r="J27" s="2"/>
    </row>
    <row r="28" spans="1:10" ht="60" customHeight="1" x14ac:dyDescent="0.35">
      <c r="A28" s="2"/>
      <c r="B28" s="2"/>
      <c r="C28" s="2"/>
      <c r="D28" s="3"/>
      <c r="E28" s="2"/>
      <c r="F28" s="3"/>
      <c r="G28" s="3"/>
      <c r="H28" s="3"/>
      <c r="I28" s="2"/>
      <c r="J28" s="2"/>
    </row>
    <row r="29" spans="1:10" ht="60" customHeight="1" x14ac:dyDescent="0.35">
      <c r="A29" s="2"/>
      <c r="B29" s="2"/>
      <c r="C29" s="2"/>
      <c r="D29" s="3"/>
      <c r="E29" s="2"/>
      <c r="F29" s="3"/>
      <c r="G29" s="3"/>
      <c r="H29" s="3"/>
      <c r="I29" s="2"/>
      <c r="J29" s="2"/>
    </row>
    <row r="30" spans="1:10" ht="60" customHeight="1" x14ac:dyDescent="0.35">
      <c r="A30" s="2"/>
      <c r="B30" s="2"/>
      <c r="C30" s="2"/>
      <c r="D30" s="3"/>
      <c r="E30" s="2"/>
      <c r="F30" s="3"/>
      <c r="G30" s="3"/>
      <c r="H30" s="3"/>
      <c r="I30" s="2"/>
      <c r="J30" s="2"/>
    </row>
    <row r="31" spans="1:10" ht="60" customHeight="1" x14ac:dyDescent="0.35">
      <c r="A31" s="2"/>
      <c r="B31" s="2"/>
      <c r="C31" s="2"/>
      <c r="D31" s="3"/>
      <c r="E31" s="2"/>
      <c r="F31" s="3"/>
      <c r="G31" s="3"/>
      <c r="H31" s="3"/>
      <c r="I31" s="2"/>
      <c r="J31" s="2"/>
    </row>
    <row r="32" spans="1:10" ht="60" customHeight="1" x14ac:dyDescent="0.35">
      <c r="A32" s="2"/>
      <c r="B32" s="2"/>
      <c r="C32" s="2"/>
      <c r="D32" s="3"/>
      <c r="E32" s="2"/>
      <c r="F32" s="3"/>
      <c r="G32" s="3"/>
      <c r="H32" s="3"/>
      <c r="I32" s="2"/>
      <c r="J32" s="2"/>
    </row>
    <row r="33" spans="1:10" ht="60" customHeight="1" x14ac:dyDescent="0.35">
      <c r="A33" s="2"/>
      <c r="B33" s="2"/>
      <c r="C33" s="2"/>
      <c r="D33" s="3"/>
      <c r="E33" s="2"/>
      <c r="F33" s="3"/>
      <c r="G33" s="3"/>
      <c r="H33" s="3"/>
      <c r="I33" s="2"/>
      <c r="J33" s="2"/>
    </row>
    <row r="34" spans="1:10" ht="60" customHeight="1" x14ac:dyDescent="0.35">
      <c r="A34" s="2"/>
      <c r="B34" s="2"/>
      <c r="C34" s="2"/>
      <c r="D34" s="3"/>
      <c r="E34" s="2"/>
      <c r="F34" s="3"/>
      <c r="G34" s="3"/>
      <c r="H34" s="3"/>
      <c r="I34" s="2"/>
      <c r="J34" s="2"/>
    </row>
    <row r="35" spans="1:10" ht="60" customHeight="1" x14ac:dyDescent="0.35">
      <c r="A35" s="2"/>
      <c r="B35" s="2"/>
      <c r="C35" s="2"/>
      <c r="D35" s="3"/>
      <c r="E35" s="2"/>
      <c r="F35" s="3"/>
      <c r="G35" s="3"/>
      <c r="H35" s="3"/>
      <c r="I35" s="2"/>
      <c r="J35" s="2"/>
    </row>
    <row r="36" spans="1:10" ht="60" customHeight="1" x14ac:dyDescent="0.35">
      <c r="A36" s="2"/>
      <c r="B36" s="2"/>
      <c r="C36" s="2"/>
      <c r="D36" s="3"/>
      <c r="E36" s="2"/>
      <c r="F36" s="3"/>
      <c r="G36" s="3"/>
      <c r="H36" s="3"/>
      <c r="I36" s="2"/>
      <c r="J36" s="2"/>
    </row>
    <row r="37" spans="1:10" ht="60" customHeight="1" x14ac:dyDescent="0.35">
      <c r="A37" s="2"/>
      <c r="B37" s="2"/>
      <c r="C37" s="2"/>
      <c r="D37" s="3"/>
      <c r="E37" s="2"/>
      <c r="F37" s="3"/>
      <c r="G37" s="3"/>
      <c r="H37" s="3"/>
      <c r="I37" s="2"/>
      <c r="J37" s="2"/>
    </row>
    <row r="38" spans="1:10" ht="60" customHeight="1" x14ac:dyDescent="0.35">
      <c r="A38" s="2"/>
      <c r="B38" s="2"/>
      <c r="C38" s="2"/>
      <c r="D38" s="3"/>
      <c r="E38" s="2"/>
      <c r="F38" s="3"/>
      <c r="G38" s="3"/>
      <c r="H38" s="3"/>
      <c r="I38" s="2"/>
      <c r="J38" s="2"/>
    </row>
    <row r="39" spans="1:10" ht="60" customHeight="1" x14ac:dyDescent="0.35">
      <c r="A39" s="2"/>
      <c r="B39" s="2"/>
      <c r="C39" s="2"/>
      <c r="D39" s="3"/>
      <c r="E39" s="2"/>
      <c r="F39" s="3"/>
      <c r="G39" s="3"/>
      <c r="H39" s="3"/>
      <c r="I39" s="2"/>
      <c r="J39" s="2"/>
    </row>
    <row r="40" spans="1:10" ht="60" customHeight="1" x14ac:dyDescent="0.35">
      <c r="A40" s="2"/>
      <c r="B40" s="2"/>
      <c r="C40" s="2"/>
      <c r="D40" s="3"/>
      <c r="E40" s="2"/>
      <c r="F40" s="3"/>
      <c r="G40" s="3"/>
      <c r="H40" s="3"/>
      <c r="I40" s="2"/>
      <c r="J40" s="2"/>
    </row>
    <row r="41" spans="1:10" ht="60" customHeight="1" x14ac:dyDescent="0.35">
      <c r="A41" s="2"/>
      <c r="B41" s="2"/>
      <c r="C41" s="2"/>
      <c r="D41" s="3"/>
      <c r="E41" s="2"/>
      <c r="F41" s="3"/>
      <c r="G41" s="3"/>
      <c r="H41" s="3"/>
      <c r="I41" s="2"/>
      <c r="J41" s="2"/>
    </row>
    <row r="42" spans="1:10" ht="60" customHeight="1" x14ac:dyDescent="0.35">
      <c r="A42" s="2"/>
      <c r="B42" s="2"/>
      <c r="C42" s="2"/>
      <c r="D42" s="3"/>
      <c r="E42" s="2"/>
      <c r="F42" s="3"/>
      <c r="G42" s="3"/>
      <c r="H42" s="3"/>
      <c r="I42" s="2"/>
      <c r="J42" s="2"/>
    </row>
    <row r="43" spans="1:10" ht="60" customHeight="1" x14ac:dyDescent="0.35">
      <c r="A43" s="2"/>
      <c r="B43" s="2"/>
      <c r="C43" s="2"/>
      <c r="D43" s="3"/>
      <c r="E43" s="2"/>
      <c r="F43" s="3"/>
      <c r="G43" s="3"/>
      <c r="H43" s="3"/>
      <c r="I43" s="2"/>
      <c r="J43" s="2"/>
    </row>
    <row r="44" spans="1:10" ht="60" customHeight="1" x14ac:dyDescent="0.35">
      <c r="A44" s="2"/>
      <c r="B44" s="2"/>
      <c r="C44" s="2"/>
      <c r="D44" s="3"/>
      <c r="E44" s="2"/>
      <c r="F44" s="3"/>
      <c r="G44" s="3"/>
      <c r="H44" s="3"/>
      <c r="I44" s="2"/>
      <c r="J44" s="2"/>
    </row>
    <row r="45" spans="1:10" ht="60" customHeight="1" x14ac:dyDescent="0.35">
      <c r="A45" s="2"/>
      <c r="B45" s="2"/>
      <c r="C45" s="2"/>
      <c r="D45" s="3"/>
      <c r="E45" s="2"/>
      <c r="F45" s="3"/>
      <c r="G45" s="3"/>
      <c r="H45" s="3"/>
      <c r="I45" s="2"/>
      <c r="J45" s="2"/>
    </row>
    <row r="46" spans="1:10" ht="60" customHeight="1" x14ac:dyDescent="0.35">
      <c r="A46" s="2"/>
      <c r="B46" s="2"/>
      <c r="C46" s="2"/>
      <c r="D46" s="3"/>
      <c r="E46" s="2"/>
      <c r="F46" s="3"/>
      <c r="G46" s="3"/>
      <c r="H46" s="3"/>
      <c r="I46" s="2"/>
      <c r="J46" s="2"/>
    </row>
    <row r="47" spans="1:10" ht="60" customHeight="1" x14ac:dyDescent="0.35">
      <c r="A47" s="2"/>
      <c r="B47" s="2"/>
      <c r="C47" s="2"/>
      <c r="D47" s="3"/>
      <c r="E47" s="2"/>
      <c r="F47" s="3"/>
      <c r="G47" s="3"/>
      <c r="H47" s="3"/>
      <c r="I47" s="2"/>
      <c r="J47" s="2"/>
    </row>
    <row r="48" spans="1:10" ht="60" customHeight="1" x14ac:dyDescent="0.35">
      <c r="A48" s="2"/>
      <c r="B48" s="2"/>
      <c r="C48" s="2"/>
      <c r="D48" s="3"/>
      <c r="E48" s="2"/>
      <c r="F48" s="3"/>
      <c r="G48" s="3"/>
      <c r="H48" s="3"/>
      <c r="I48" s="2"/>
      <c r="J48" s="2"/>
    </row>
    <row r="49" spans="1:10" ht="60" customHeight="1" x14ac:dyDescent="0.35">
      <c r="A49" s="2"/>
      <c r="B49" s="2"/>
      <c r="C49" s="2"/>
      <c r="D49" s="3"/>
      <c r="E49" s="2"/>
      <c r="F49" s="3"/>
      <c r="G49" s="3"/>
      <c r="H49" s="3"/>
      <c r="I49" s="2"/>
      <c r="J49" s="2"/>
    </row>
    <row r="50" spans="1:10" ht="60" customHeight="1" x14ac:dyDescent="0.35">
      <c r="A50" s="2"/>
      <c r="B50" s="2"/>
      <c r="C50" s="2"/>
      <c r="D50" s="3"/>
      <c r="E50" s="2"/>
      <c r="F50" s="3"/>
      <c r="G50" s="3"/>
      <c r="H50" s="3"/>
      <c r="I50" s="2"/>
      <c r="J50" s="2"/>
    </row>
    <row r="51" spans="1:10" ht="60" customHeight="1" x14ac:dyDescent="0.35">
      <c r="A51" s="2"/>
      <c r="B51" s="2"/>
      <c r="C51" s="2"/>
      <c r="D51" s="3"/>
      <c r="E51" s="2"/>
      <c r="F51" s="3"/>
      <c r="G51" s="3"/>
      <c r="H51" s="3"/>
      <c r="I51" s="2"/>
      <c r="J51" s="2"/>
    </row>
    <row r="52" spans="1:10" ht="60" customHeight="1" x14ac:dyDescent="0.35">
      <c r="A52" s="2"/>
      <c r="B52" s="2"/>
      <c r="C52" s="2"/>
      <c r="D52" s="3"/>
      <c r="E52" s="2"/>
      <c r="F52" s="3"/>
      <c r="G52" s="3"/>
      <c r="H52" s="3"/>
      <c r="I52" s="2"/>
      <c r="J52" s="2"/>
    </row>
    <row r="53" spans="1:10" ht="60" customHeight="1" x14ac:dyDescent="0.35">
      <c r="A53" s="2"/>
      <c r="B53" s="2"/>
      <c r="C53" s="2"/>
      <c r="D53" s="3"/>
      <c r="E53" s="2"/>
      <c r="F53" s="3"/>
      <c r="G53" s="3"/>
      <c r="H53" s="3"/>
      <c r="I53" s="2"/>
      <c r="J53" s="2"/>
    </row>
  </sheetData>
  <autoFilter ref="A3:J53" xr:uid="{00000000-0009-0000-0000-000000000000}"/>
  <mergeCells count="2">
    <mergeCell ref="A2:J2"/>
    <mergeCell ref="A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/>
  </sheetViews>
  <sheetFormatPr defaultRowHeight="14.5" x14ac:dyDescent="0.35"/>
  <cols>
    <col min="1" max="1" width="14" customWidth="1"/>
    <col min="2" max="3" width="10" customWidth="1"/>
  </cols>
  <sheetData>
    <row r="1" spans="1:3" ht="28" customHeight="1" x14ac:dyDescent="0.35">
      <c r="A1" s="10" t="s">
        <v>58</v>
      </c>
      <c r="B1" s="9"/>
      <c r="C1" s="9"/>
    </row>
    <row r="2" spans="1:3" x14ac:dyDescent="0.35">
      <c r="A2" s="1" t="s">
        <v>5</v>
      </c>
      <c r="B2" s="1" t="s">
        <v>59</v>
      </c>
      <c r="C2" s="1" t="s">
        <v>22</v>
      </c>
    </row>
    <row r="3" spans="1:3" x14ac:dyDescent="0.35">
      <c r="A3" s="4" t="s">
        <v>46</v>
      </c>
      <c r="B3" s="2" t="e">
        <f>COUNTIF('Bug Reports'!#REF!,"Critical")</f>
        <v>#REF!</v>
      </c>
      <c r="C3" s="2" t="e">
        <f>COUNTIFS('Bug Reports'!#REF!,"Critical",'Bug Reports'!J:J,"Open")</f>
        <v>#REF!</v>
      </c>
    </row>
    <row r="4" spans="1:3" x14ac:dyDescent="0.35">
      <c r="A4" s="5" t="s">
        <v>26</v>
      </c>
      <c r="B4" s="2" t="e">
        <f>COUNTIF('Bug Reports'!#REF!,"High")</f>
        <v>#REF!</v>
      </c>
      <c r="C4" s="2" t="e">
        <f>COUNTIFS('Bug Reports'!#REF!,"High",'Bug Reports'!J:J,"Open")</f>
        <v>#REF!</v>
      </c>
    </row>
    <row r="5" spans="1:3" x14ac:dyDescent="0.35">
      <c r="A5" s="6" t="s">
        <v>17</v>
      </c>
      <c r="B5" s="2" t="e">
        <f>COUNTIF('Bug Reports'!#REF!,"Medium")</f>
        <v>#REF!</v>
      </c>
      <c r="C5" s="2" t="e">
        <f>COUNTIFS('Bug Reports'!#REF!,"Medium",'Bug Reports'!J:J,"Open")</f>
        <v>#REF!</v>
      </c>
    </row>
    <row r="6" spans="1:3" x14ac:dyDescent="0.35">
      <c r="A6" s="7" t="s">
        <v>16</v>
      </c>
      <c r="B6" s="2" t="e">
        <f>COUNTIF('Bug Reports'!#REF!,"Low")</f>
        <v>#REF!</v>
      </c>
      <c r="C6" s="2" t="e">
        <f>COUNTIFS('Bug Reports'!#REF!,"Low",'Bug Reports'!J:J,"Open")</f>
        <v>#REF!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Bug Reports</vt:lpstr>
      <vt:lpstr>Bug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Inam Khan</cp:lastModifiedBy>
  <dcterms:created xsi:type="dcterms:W3CDTF">2026-05-20T18:34:03Z</dcterms:created>
  <dcterms:modified xsi:type="dcterms:W3CDTF">2026-05-21T14:43:04Z</dcterms:modified>
</cp:coreProperties>
</file>